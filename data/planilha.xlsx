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592B018B-4FF4-40DC-ABB5-6B9011A40003}" xr6:coauthVersionLast="47" xr6:coauthVersionMax="47" xr10:uidLastSave="{00000000-0000-0000-0000-000000000000}"/>
  <bookViews>
    <workbookView xWindow="-108" yWindow="-108" windowWidth="23256" windowHeight="12456" tabRatio="679" firstSheet="1" activeTab="1" xr2:uid="{50E0EAB0-8137-4EB9-B109-E6D57DC6E31A}"/>
  </bookViews>
  <sheets>
    <sheet name="Personalizados" sheetId="2" r:id="rId1"/>
    <sheet name="Barras" sheetId="3" r:id="rId2"/>
    <sheet name="Bombons liquidos" sheetId="4" r:id="rId3"/>
    <sheet name="Bombons 12gr" sheetId="8" r:id="rId4"/>
    <sheet name="Trufas e trufados" sheetId="6" r:id="rId5"/>
    <sheet name="Degustação" sheetId="7" r:id="rId6"/>
    <sheet name="Planilha9" sheetId="9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4" l="1"/>
  <c r="I5" i="4"/>
  <c r="I6" i="4"/>
  <c r="I7" i="4"/>
  <c r="I8" i="4"/>
  <c r="I9" i="4"/>
  <c r="I10" i="4"/>
  <c r="I11" i="4"/>
  <c r="I12" i="4"/>
  <c r="I13" i="4"/>
  <c r="I14" i="4"/>
  <c r="I15" i="4"/>
  <c r="I3" i="4"/>
  <c r="I16" i="4" s="1"/>
  <c r="D16" i="4"/>
  <c r="D4" i="4"/>
  <c r="D5" i="4"/>
  <c r="D6" i="4"/>
  <c r="D7" i="4"/>
  <c r="D8" i="4"/>
  <c r="D9" i="4"/>
  <c r="D10" i="4"/>
  <c r="D11" i="4"/>
  <c r="D12" i="4"/>
  <c r="D13" i="4"/>
  <c r="D14" i="4"/>
  <c r="D15" i="4"/>
  <c r="D3" i="4"/>
  <c r="D3" i="3"/>
  <c r="I3" i="3"/>
  <c r="D4" i="3"/>
  <c r="I4" i="3"/>
  <c r="D5" i="3"/>
  <c r="I5" i="3"/>
  <c r="D6" i="3"/>
  <c r="I6" i="3"/>
  <c r="D7" i="3"/>
  <c r="I7" i="3"/>
  <c r="D8" i="3"/>
  <c r="I8" i="3"/>
  <c r="D9" i="3"/>
  <c r="I9" i="3"/>
  <c r="D10" i="3"/>
  <c r="I10" i="3"/>
  <c r="D11" i="3"/>
  <c r="I11" i="3"/>
  <c r="D12" i="3"/>
  <c r="I12" i="3"/>
  <c r="D13" i="3"/>
  <c r="I13" i="3"/>
  <c r="D14" i="3"/>
  <c r="I14" i="3"/>
  <c r="D15" i="3"/>
  <c r="I15" i="3"/>
  <c r="D16" i="3"/>
  <c r="I16" i="3"/>
  <c r="D17" i="3"/>
  <c r="I17" i="3"/>
  <c r="D18" i="3"/>
  <c r="I18" i="3"/>
  <c r="D19" i="3"/>
  <c r="I19" i="3"/>
  <c r="D20" i="3"/>
  <c r="I20" i="3"/>
  <c r="D21" i="3"/>
  <c r="I21" i="3"/>
  <c r="D22" i="3"/>
  <c r="I22" i="3"/>
  <c r="D23" i="3"/>
  <c r="I23" i="3"/>
  <c r="D24" i="3"/>
  <c r="I24" i="3"/>
  <c r="D25" i="3"/>
  <c r="I25" i="3"/>
  <c r="D26" i="3"/>
  <c r="I26" i="3"/>
  <c r="D27" i="3"/>
  <c r="I27" i="3"/>
  <c r="D28" i="3"/>
  <c r="D29" i="3" l="1"/>
  <c r="I28" i="3"/>
</calcChain>
</file>

<file path=xl/sharedStrings.xml><?xml version="1.0" encoding="utf-8"?>
<sst xmlns="http://schemas.openxmlformats.org/spreadsheetml/2006/main" count="766" uniqueCount="415">
  <si>
    <t>PRODUTO</t>
  </si>
  <si>
    <t>VALOR</t>
  </si>
  <si>
    <t>480- Avião 35g</t>
  </si>
  <si>
    <t>Avião 35g Branco</t>
  </si>
  <si>
    <t>73- Barra de Chocolate 70g</t>
  </si>
  <si>
    <t>74- Bob Esponja 80g</t>
  </si>
  <si>
    <t>75- Bola de Futebol 50g</t>
  </si>
  <si>
    <t>76- Boneca 30g</t>
  </si>
  <si>
    <t>Boneca 30g Branco</t>
  </si>
  <si>
    <t>444- Boneco Gengibre 45g</t>
  </si>
  <si>
    <t>Boneco Gengibre 45g Branco</t>
  </si>
  <si>
    <t>77- Borboleta 35g (rosa, azul, amarelo, lilás, vermelho, laranja, verde)</t>
  </si>
  <si>
    <t>79- Burro 50g</t>
  </si>
  <si>
    <t>82-Cachorro 30g</t>
  </si>
  <si>
    <t>Cachorro 30g Branco</t>
  </si>
  <si>
    <t>83-Cachorro Coleira 60g</t>
  </si>
  <si>
    <t>Cachorro Coleira 60g Branco</t>
  </si>
  <si>
    <t>84- Cachorro Laço 60g</t>
  </si>
  <si>
    <t>Cachorro Laço 60g Branco</t>
  </si>
  <si>
    <t>85- Cachorro Snoopy 60g</t>
  </si>
  <si>
    <t>Cachorro Snoopy 60g Branco</t>
  </si>
  <si>
    <t>86- Cavalo 35g</t>
  </si>
  <si>
    <t>Cavalo 35g Branco</t>
  </si>
  <si>
    <t>88- Cavalo 100g</t>
  </si>
  <si>
    <t>89- Celular 40g</t>
  </si>
  <si>
    <t>Celular 40g Branco</t>
  </si>
  <si>
    <t>90- Celular Iphone 40G</t>
  </si>
  <si>
    <t>Celular Iphone 40G Branco</t>
  </si>
  <si>
    <t>91- Cisne 50g</t>
  </si>
  <si>
    <t>92- Chuteira 120g</t>
  </si>
  <si>
    <t>93- Coração Flor 70g</t>
  </si>
  <si>
    <t>Coração Flor 70g Branco</t>
  </si>
  <si>
    <t>94- Coração Maciço Te Amo 50g</t>
  </si>
  <si>
    <t>Coração Maciço Te Amo 50g Branco</t>
  </si>
  <si>
    <t>95- Coração Te Amo 50g</t>
  </si>
  <si>
    <t>Coração Te Amo 50g Branco</t>
  </si>
  <si>
    <t>96- Coração Te Amo 250g</t>
  </si>
  <si>
    <t>Coração Te Amo 250g Branco</t>
  </si>
  <si>
    <t>97- Coração Laço 280g</t>
  </si>
  <si>
    <t>Coração Laço 280g Branco</t>
  </si>
  <si>
    <t>190- Coração c/ Bombons Trufados 300g</t>
  </si>
  <si>
    <t>191- Coração c/ Bombons Trufados 550g</t>
  </si>
  <si>
    <t>98- Coração 550g</t>
  </si>
  <si>
    <t>Coração 550g Branco</t>
  </si>
  <si>
    <t>101- Coruja 70g</t>
  </si>
  <si>
    <t>102- Cuia 100g</t>
  </si>
  <si>
    <t>103- Cuia 70g</t>
  </si>
  <si>
    <t>104- Dinossauro 35g</t>
  </si>
  <si>
    <t>109- Fiona 70g</t>
  </si>
  <si>
    <t>110- Fusca 20g</t>
  </si>
  <si>
    <t>Fusca 20g Branco</t>
  </si>
  <si>
    <t>111- Fusca 80g</t>
  </si>
  <si>
    <t>Fusca 80g Branco</t>
  </si>
  <si>
    <t>112- Galinha 35g</t>
  </si>
  <si>
    <t>Galinha 35g Branco</t>
  </si>
  <si>
    <t>113- Gato 35g</t>
  </si>
  <si>
    <t>Gato 35g Branco</t>
  </si>
  <si>
    <t>115- George Pig 50g</t>
  </si>
  <si>
    <t>121- Jacaré 155g</t>
  </si>
  <si>
    <t>Jacaré 155g Branco</t>
  </si>
  <si>
    <t>122- Joaninha 15g</t>
  </si>
  <si>
    <t>123- Leão 35g</t>
  </si>
  <si>
    <t>Leão 35g Branco</t>
  </si>
  <si>
    <t>124- Medalha Grémio 20g</t>
  </si>
  <si>
    <t>125- Medalha Internacional 20g</t>
  </si>
  <si>
    <t>126- Menino Rezando 45g</t>
  </si>
  <si>
    <t>128- Moeda 1 Real 20g</t>
  </si>
  <si>
    <t>129- Moto 100g</t>
  </si>
  <si>
    <t>131- Ovelha 35g Branco</t>
  </si>
  <si>
    <t>132- Pata de Cachorro 8g</t>
  </si>
  <si>
    <t>Pata de Cachorro 8g Branco</t>
  </si>
  <si>
    <t>133- Pato 30g</t>
  </si>
  <si>
    <t>Pato 30g Branco</t>
  </si>
  <si>
    <t>135- Peppa Pig 50g</t>
  </si>
  <si>
    <t>136- Pinguim 100g</t>
  </si>
  <si>
    <t>Pinguim 100g Branco</t>
  </si>
  <si>
    <t>140- Pirulito Coração 22g</t>
  </si>
  <si>
    <t>139- Pirulito Rosa 25g</t>
  </si>
  <si>
    <t>141- Pirulito Homem Aranha 15g</t>
  </si>
  <si>
    <t>144- Pirulito Mickey 25g</t>
  </si>
  <si>
    <t>145- Pirulito Minnie 25g</t>
  </si>
  <si>
    <t>146- Pirulito Casinha 18g</t>
  </si>
  <si>
    <t>147- Pirulito Urso 20g</t>
  </si>
  <si>
    <t>148- Pirulito Moto 12g</t>
  </si>
  <si>
    <t>577- Pirulito Borboleta 35g (rosa, azul, vermelho, lilás, amarelo, laranja, verde)</t>
  </si>
  <si>
    <t>442- Pirulito Rosa 25g Colorido</t>
  </si>
  <si>
    <t>150- Placa de Música 38g</t>
  </si>
  <si>
    <t>152- Pórtico Nova Petrópolis 35g</t>
  </si>
  <si>
    <t>Pórtico Várzea Grande 35g</t>
  </si>
  <si>
    <t>155- Sapato 100g</t>
  </si>
  <si>
    <t>156- Shrek 100g</t>
  </si>
  <si>
    <t>157- Ursinho 15g</t>
  </si>
  <si>
    <t>160- Violão 40g</t>
  </si>
  <si>
    <t>Violão 40g Branco</t>
  </si>
  <si>
    <t>161- Violoncelo 80g</t>
  </si>
  <si>
    <t>Violoncelo 80g Branco</t>
  </si>
  <si>
    <t>Felicidade</t>
  </si>
  <si>
    <t>Com Carinho</t>
  </si>
  <si>
    <t>Te Amo</t>
  </si>
  <si>
    <t>Parabéns</t>
  </si>
  <si>
    <t>Gramado-RS</t>
  </si>
  <si>
    <t>Saúde</t>
  </si>
  <si>
    <t>Sucesso</t>
  </si>
  <si>
    <t>Paz</t>
  </si>
  <si>
    <t>Esperança</t>
  </si>
  <si>
    <t>Estive em Gramado...</t>
  </si>
  <si>
    <t>Alegria</t>
  </si>
  <si>
    <t>Rio Grande do Sul</t>
  </si>
  <si>
    <t>Gratidão</t>
  </si>
  <si>
    <t>Com carinho</t>
  </si>
  <si>
    <t>Canela-RS</t>
  </si>
  <si>
    <t>Felicidades</t>
  </si>
  <si>
    <t>Te amo</t>
  </si>
  <si>
    <t>Mãe</t>
  </si>
  <si>
    <t>Afilhada</t>
  </si>
  <si>
    <t>Pai</t>
  </si>
  <si>
    <t>Afilhado</t>
  </si>
  <si>
    <t>Avó</t>
  </si>
  <si>
    <t>Namorada</t>
  </si>
  <si>
    <t>Avô</t>
  </si>
  <si>
    <t>Namorado</t>
  </si>
  <si>
    <t>Irmã</t>
  </si>
  <si>
    <t>Filha</t>
  </si>
  <si>
    <t>Irmão</t>
  </si>
  <si>
    <t>Filho</t>
  </si>
  <si>
    <t>Tia</t>
  </si>
  <si>
    <t>Cunhada</t>
  </si>
  <si>
    <t>Tio</t>
  </si>
  <si>
    <t>Cunhado</t>
  </si>
  <si>
    <t>Prima</t>
  </si>
  <si>
    <t>Dinda</t>
  </si>
  <si>
    <t>Primo</t>
  </si>
  <si>
    <t>Dindo</t>
  </si>
  <si>
    <t>Sogra</t>
  </si>
  <si>
    <t>Sogro</t>
  </si>
  <si>
    <t>Nora</t>
  </si>
  <si>
    <t>Gramado</t>
  </si>
  <si>
    <t>Genro</t>
  </si>
  <si>
    <t>Esposa</t>
  </si>
  <si>
    <t>Prof.</t>
  </si>
  <si>
    <t>Marido</t>
  </si>
  <si>
    <t>Neta</t>
  </si>
  <si>
    <t>Lembrei de Você</t>
  </si>
  <si>
    <t>Neto</t>
  </si>
  <si>
    <t>Feliz Aniversário</t>
  </si>
  <si>
    <t>Amiga</t>
  </si>
  <si>
    <t>Chefe</t>
  </si>
  <si>
    <t>Amigo</t>
  </si>
  <si>
    <t>Mulher</t>
  </si>
  <si>
    <t>Sobrinha</t>
  </si>
  <si>
    <t>Formatura</t>
  </si>
  <si>
    <t>Sobrinho</t>
  </si>
  <si>
    <t xml:space="preserve"> 138- Pirulito Peppa 35g</t>
  </si>
  <si>
    <t xml:space="preserve">VALOR </t>
  </si>
  <si>
    <t xml:space="preserve">- </t>
  </si>
  <si>
    <t xml:space="preserve">166 PLACA 60g </t>
  </si>
  <si>
    <t xml:space="preserve">165 PLACA 90g </t>
  </si>
  <si>
    <t xml:space="preserve">163 PLACA 40g </t>
  </si>
  <si>
    <t>28- Chocolate sortido 200g</t>
  </si>
  <si>
    <t>30- Chocolate sortido 400g</t>
  </si>
  <si>
    <t>66- Canudos de Waffer 65g</t>
  </si>
  <si>
    <t>32- Drágea crocante 100g mista</t>
  </si>
  <si>
    <t>33- Drágea crocante 200g mista</t>
  </si>
  <si>
    <t>34- Drágea crocante 500g mista</t>
  </si>
  <si>
    <t>32- Drágea crocante 100g ao leite</t>
  </si>
  <si>
    <t>33- Drágea crocante 200g ao leite</t>
  </si>
  <si>
    <t>34- Drágea crocante 500g ao leite</t>
  </si>
  <si>
    <t>32- Drágea crocante 100g branca</t>
  </si>
  <si>
    <t>33- Drágea crocante 200g branca</t>
  </si>
  <si>
    <t>34- Drágea crocante 500g branca</t>
  </si>
  <si>
    <t>35- Drágea crocante 100g 50% cacau</t>
  </si>
  <si>
    <t>36- Drágea crocante 200g 50% cacau</t>
  </si>
  <si>
    <t>546- Drágea crocante 100g 70% cacau</t>
  </si>
  <si>
    <t>547- Drágea crocante 200g 70% cacau</t>
  </si>
  <si>
    <t>58- Drágea crocante de morango 100g</t>
  </si>
  <si>
    <t>59- Drágea crocante de morango 200g</t>
  </si>
  <si>
    <t>60- Drágea crocante de maracujá 100g</t>
  </si>
  <si>
    <t>61- Drágea crocante de maracujá 200g</t>
  </si>
  <si>
    <t>62- Drágea crocante de maça verde 100g</t>
  </si>
  <si>
    <t>63- Drágea crocante de maça verde 200g</t>
  </si>
  <si>
    <t>50- Drágea crocante de café 100g</t>
  </si>
  <si>
    <t>51- Drágea crocante de café 200g</t>
  </si>
  <si>
    <t>37- Drágea amêndoa 100g ao leite</t>
  </si>
  <si>
    <t>37- Drágea amêndoa 100g branca</t>
  </si>
  <si>
    <t>37- Drágea amêndoa 100g mista</t>
  </si>
  <si>
    <t>656- Drágea amêndoa 100g 70% Cacau</t>
  </si>
  <si>
    <t>39- Drágea de amendoim 100g</t>
  </si>
  <si>
    <t>Drágea de amendoim 100g 50% cacau</t>
  </si>
  <si>
    <t>41- Drágea de avelã 100g ao leite</t>
  </si>
  <si>
    <t>41- Drágea de avelã 100g branca</t>
  </si>
  <si>
    <t>48- Drágea de banana 100g</t>
  </si>
  <si>
    <t>43- Drágea de castanha caju 100g</t>
  </si>
  <si>
    <t>Drágea de castanha caju 100g 50% cacau</t>
  </si>
  <si>
    <t>46- Drágea de castanha pará 100g</t>
  </si>
  <si>
    <t>Drágea de castanha pará 100g 50% cacau</t>
  </si>
  <si>
    <t>679- Drágea de cereja 100g</t>
  </si>
  <si>
    <t>52- Drágea de damasco 100g</t>
  </si>
  <si>
    <t>678- Drágea de morango 100g</t>
  </si>
  <si>
    <t>168- Língua de Gato 70g ao leite</t>
  </si>
  <si>
    <t>169- Dominó 160g ao leite</t>
  </si>
  <si>
    <t>170- Caixa Frutos do Mar 80g mesclado</t>
  </si>
  <si>
    <t>172- Kikito 50g ao leite</t>
  </si>
  <si>
    <t>Kikito 50g branco</t>
  </si>
  <si>
    <t>173- Cone Drág. Castanha de Cajú 70g diet</t>
  </si>
  <si>
    <t>174- Cone Drág. Crocante 40g misto</t>
  </si>
  <si>
    <t>175- Cone Drág. Crocante 90g misto</t>
  </si>
  <si>
    <t>Cone Drág. Crocante 40g ao leite</t>
  </si>
  <si>
    <t>Cone Drág. Crocante 90g ao leite</t>
  </si>
  <si>
    <t>Cone Drág. Crocante 40g branco</t>
  </si>
  <si>
    <t>Cone Drág. Crocante 90g branco</t>
  </si>
  <si>
    <t>Cone Drág. Crocante 40g 50% cacau</t>
  </si>
  <si>
    <t>Cone Drág. Crocante 90g 50% cacau</t>
  </si>
  <si>
    <t>597- Cone Drág. Crocante 40g 70% cacau</t>
  </si>
  <si>
    <t>552- Cone Drág. Crocante 90g 70% cacau</t>
  </si>
  <si>
    <t>176- Kit Ferramenta 110g</t>
  </si>
  <si>
    <t>177- Kit Maquiagem 70g</t>
  </si>
  <si>
    <t>178- Kit Copinho de Licor 80g</t>
  </si>
  <si>
    <t>179- Caixa de Pastilha 70g ao leite</t>
  </si>
  <si>
    <t>180- Caixa de Pastilha 70g branco</t>
  </si>
  <si>
    <t>PRODUTOS COM EMBALAGEM</t>
  </si>
  <si>
    <t>181- Caixa de Pastilha 70g 50% cacau</t>
  </si>
  <si>
    <t>182- Caixa de Pastilha 70g diet</t>
  </si>
  <si>
    <t>183- Caixa de Pastilha 70g 70% cacau</t>
  </si>
  <si>
    <t>184- Caixa de Pastilha 70g sem lactose</t>
  </si>
  <si>
    <t>185- Caixa de Pastilha 70g ao leite com menta</t>
  </si>
  <si>
    <t>186- Caixa de Pastilha 70g ao leite com laranja</t>
  </si>
  <si>
    <t xml:space="preserve"> 187- Caixa de Fondue 270g</t>
  </si>
  <si>
    <t>188- Caixa de Chocolate em Pó 270g</t>
  </si>
  <si>
    <t>214- Caixa GramadoWay Te Amo 40g</t>
  </si>
  <si>
    <t>167- Caixa GramadoWay TPM</t>
  </si>
  <si>
    <t>216- Caixa Especial Preta GramadoWay 12BB</t>
  </si>
  <si>
    <t>215- Caixa Especial Preta GramadoWay 14BB</t>
  </si>
  <si>
    <t>195- Caixa GramadoWay 3 Barras</t>
  </si>
  <si>
    <t>677- Caixa GramadoWay 3 Barras meio amargo</t>
  </si>
  <si>
    <t>197- Caixa GramadoWay 3 Barras Sem Lactose</t>
  </si>
  <si>
    <t>198- Caixa GramadoWay 3 Barras Diet</t>
  </si>
  <si>
    <t>196- Caixa GramadoWay 3 Barras 70% Cacau</t>
  </si>
  <si>
    <t>664- Caixa Sapato 100g</t>
  </si>
  <si>
    <t>225- Caixa 2 bombons</t>
  </si>
  <si>
    <t>233- Caixa 4 bombons</t>
  </si>
  <si>
    <t>238- Caixa 6 bombons</t>
  </si>
  <si>
    <t>239- Caixa 9 bombons</t>
  </si>
  <si>
    <t>220- Caixa 12 bombons</t>
  </si>
  <si>
    <t>221- Caixa 14 bombons</t>
  </si>
  <si>
    <t>222- Caixa 15 bombons</t>
  </si>
  <si>
    <t>223- Caixa 18 bombons</t>
  </si>
  <si>
    <t>227- Caixa 20 bombons</t>
  </si>
  <si>
    <t>228- Caixa 24 bombons</t>
  </si>
  <si>
    <t>229- Caixa 28 bombons</t>
  </si>
  <si>
    <t>232- Caixa 30 bombons</t>
  </si>
  <si>
    <t>532- Caixa 5 barrinhas</t>
  </si>
  <si>
    <t>224- Caixa 2 bombons e 2 barrinhas</t>
  </si>
  <si>
    <t>528- Caixa Placa de 40g e 14 bombons</t>
  </si>
  <si>
    <t>529- Caixa 4 bombons de coração</t>
  </si>
  <si>
    <t>530- Caixa 6 bombons de coração</t>
  </si>
  <si>
    <t>202- Barra 100g Ao Leite Mozart</t>
  </si>
  <si>
    <t>203- Barra 100g Branco Chopin</t>
  </si>
  <si>
    <t>204- Barra 100g Meio Amargo Tchaikovsky</t>
  </si>
  <si>
    <t>205- Barra 100g Diet Vivaldi</t>
  </si>
  <si>
    <t>206- Barra 100g Sem Lactose Schubert</t>
  </si>
  <si>
    <t>207- Barra 100g 70% Cacau Beethoven</t>
  </si>
  <si>
    <t>682- Barra 100g 82% Cacau Bach</t>
  </si>
  <si>
    <t>371- Bomboniere Pequena 300g</t>
  </si>
  <si>
    <t>372- Bomboniere Grande 900g</t>
  </si>
  <si>
    <t>667- Caixa GramadoWay 4 Alfajores</t>
  </si>
  <si>
    <t>674- Caixa GramadoWay 5 Alfajores</t>
  </si>
  <si>
    <t xml:space="preserve">VALORES </t>
  </si>
  <si>
    <t>MARULA</t>
  </si>
  <si>
    <t>R$ 128,00 Kg</t>
  </si>
  <si>
    <t>R$ 3,50 unid</t>
  </si>
  <si>
    <t>DAMASCO</t>
  </si>
  <si>
    <t>FLOCOS</t>
  </si>
  <si>
    <t>CASTANHA</t>
  </si>
  <si>
    <t>AMENDOIM</t>
  </si>
  <si>
    <t>COCO</t>
  </si>
  <si>
    <t>NOZES</t>
  </si>
  <si>
    <t>PURO</t>
  </si>
  <si>
    <t>COOKIES</t>
  </si>
  <si>
    <t>NEGRESCO</t>
  </si>
  <si>
    <t>CAFÉ</t>
  </si>
  <si>
    <t>AVELÃ</t>
  </si>
  <si>
    <t>LIMÃO</t>
  </si>
  <si>
    <t>PASSAS</t>
  </si>
  <si>
    <t>MENTA</t>
  </si>
  <si>
    <t>PIMENTA</t>
  </si>
  <si>
    <t>CROCANTE</t>
  </si>
  <si>
    <t>CEREJA</t>
  </si>
  <si>
    <t>CAJU MOÍDO</t>
  </si>
  <si>
    <t>MESCLADO</t>
  </si>
  <si>
    <t>LARANJA</t>
  </si>
  <si>
    <t>MARACUJÁ</t>
  </si>
  <si>
    <t>BANANA</t>
  </si>
  <si>
    <t>CONFETE</t>
  </si>
  <si>
    <t>CANELA</t>
  </si>
  <si>
    <t xml:space="preserve">BOMBONS LÍQUIDOS (LICOR E LEITE CONDENSADO) 14g </t>
  </si>
  <si>
    <t xml:space="preserve">TIPO </t>
  </si>
  <si>
    <t>Leite Condensado</t>
  </si>
  <si>
    <t>R$ 3,00 unid</t>
  </si>
  <si>
    <t>Licor de Damasco</t>
  </si>
  <si>
    <t>Licor de Cereja</t>
  </si>
  <si>
    <t>Licor de Chocolate</t>
  </si>
  <si>
    <t>Licor de Whisky</t>
  </si>
  <si>
    <t>Licor de Vinho</t>
  </si>
  <si>
    <t>Licor de Coco</t>
  </si>
  <si>
    <t>Licor de Rum</t>
  </si>
  <si>
    <t>Licor de Marula</t>
  </si>
  <si>
    <t>Licor de Morango</t>
  </si>
  <si>
    <t>Licor de Cachaça</t>
  </si>
  <si>
    <t>Licor de Menta</t>
  </si>
  <si>
    <t>Licor de Conhaque</t>
  </si>
  <si>
    <t xml:space="preserve">TIPO KG </t>
  </si>
  <si>
    <t>22- QUADRADINHOS AO LEITE</t>
  </si>
  <si>
    <t>R$ 99,00 Kg</t>
  </si>
  <si>
    <t>23- QUADRADINHOS BRANCO</t>
  </si>
  <si>
    <t>443- CHOCOLATE EM PÓ</t>
  </si>
  <si>
    <t>R$ 85,00 Kg</t>
  </si>
  <si>
    <t>474- RALADO AO LEITE</t>
  </si>
  <si>
    <t>DEGUSTAÇÃO GRANEL</t>
  </si>
  <si>
    <t>VALORES UND</t>
  </si>
  <si>
    <t>PURO 10g</t>
  </si>
  <si>
    <t>R$ 138,00 Kg</t>
  </si>
  <si>
    <t>R$ 2,50 unid</t>
  </si>
  <si>
    <t>CROCANTE 12g</t>
  </si>
  <si>
    <t>R$ 179,00 Kg</t>
  </si>
  <si>
    <t>PURO 11g</t>
  </si>
  <si>
    <t>R$ 199,00 Kg</t>
  </si>
  <si>
    <t>R$ 5,20 unid</t>
  </si>
  <si>
    <t>PURO 14g</t>
  </si>
  <si>
    <t>R$ 4,00 unid</t>
  </si>
  <si>
    <t>PISTACHE</t>
  </si>
  <si>
    <t>PISTACHE 14g</t>
  </si>
  <si>
    <t>CASTANHA 14g</t>
  </si>
  <si>
    <t>AVELÃ 14g</t>
  </si>
  <si>
    <t>AMÊNDOAS</t>
  </si>
  <si>
    <t>AMÊNDOAS 14g</t>
  </si>
  <si>
    <t>CAJU</t>
  </si>
  <si>
    <t>CAJU 14g</t>
  </si>
  <si>
    <t>NOZES 14g</t>
  </si>
  <si>
    <t>PURO BRANCO</t>
  </si>
  <si>
    <t>R$ 265,00 Kg</t>
  </si>
  <si>
    <t>R$ 6,80 unid</t>
  </si>
  <si>
    <t>PURO BRANCO 9,8g</t>
  </si>
  <si>
    <t>R$ 5,00 unid</t>
  </si>
  <si>
    <t>PURO 50% CACAU</t>
  </si>
  <si>
    <t>PURO 50% CACAU 14g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</si>
  <si>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BOMBONS CÓD 11 UNIDADE – CÓD 12 Kg flop – CÓD 596 Kg filme </t>
    </r>
  </si>
  <si>
    <t xml:space="preserve">TIPO AO LEITE </t>
  </si>
  <si>
    <t>Puro 12g</t>
  </si>
  <si>
    <t>Damasco 14g</t>
  </si>
  <si>
    <t>Amendoim 14g</t>
  </si>
  <si>
    <t>Cast. Cajú 14g</t>
  </si>
  <si>
    <t>Passas 14g</t>
  </si>
  <si>
    <t>Crocante 12g</t>
  </si>
  <si>
    <t>Coração 14g</t>
  </si>
  <si>
    <t>Confete 14g</t>
  </si>
  <si>
    <t>Mesclado 12g</t>
  </si>
  <si>
    <t>24- Marshmallow 10g</t>
  </si>
  <si>
    <t>Chocolate</t>
  </si>
  <si>
    <t>Marula</t>
  </si>
  <si>
    <t>Coco</t>
  </si>
  <si>
    <t>Menta</t>
  </si>
  <si>
    <t>Doce de leite</t>
  </si>
  <si>
    <t>Morango</t>
  </si>
  <si>
    <t>Leite</t>
  </si>
  <si>
    <t>Uva</t>
  </si>
  <si>
    <t>Maracujá</t>
  </si>
  <si>
    <t>Framboesa</t>
  </si>
  <si>
    <t>Abacaxi</t>
  </si>
  <si>
    <t>Frutas Vermelhas</t>
  </si>
  <si>
    <t>Avelã</t>
  </si>
  <si>
    <t>Café</t>
  </si>
  <si>
    <t>Limão</t>
  </si>
  <si>
    <t>70% cacau</t>
  </si>
  <si>
    <t>50% cacau</t>
  </si>
  <si>
    <t>QTIDE</t>
  </si>
  <si>
    <t>TOTAL</t>
  </si>
  <si>
    <t xml:space="preserve">PERSONALIZADOS 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</si>
  <si>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PLACA 24g </t>
    </r>
    <r>
      <rPr>
        <sz val="11"/>
        <color theme="1"/>
        <rFont val="Calibri"/>
        <family val="2"/>
        <scheme val="minor"/>
      </rPr>
      <t>- COD. 163</t>
    </r>
  </si>
  <si>
    <t>601 PLACA 40g - quadrada</t>
  </si>
  <si>
    <t xml:space="preserve">DIVERSOS </t>
  </si>
  <si>
    <t>SABOR</t>
  </si>
  <si>
    <t>BOMBOM TRUFADOS AO LEITE 15GR - saco 40</t>
  </si>
  <si>
    <t>BOMBOM TRUFADOS AO LEITE 15GR - UND</t>
  </si>
  <si>
    <t>TRUFAS- 22GR - UND</t>
  </si>
  <si>
    <t>TRUFAS- 22GR SACO 25</t>
  </si>
  <si>
    <t xml:space="preserve">TOTAL </t>
  </si>
  <si>
    <t>VALOR KG</t>
  </si>
  <si>
    <t>TIPO BRANCO</t>
  </si>
  <si>
    <t>VALOR UND</t>
  </si>
  <si>
    <t>681- Bombom Coração vermelho laminado</t>
  </si>
  <si>
    <t>681- Bombom Coração dourado laminado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</si>
  <si>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50% CACAU </t>
    </r>
  </si>
  <si>
    <t>BARRINHA 23g</t>
  </si>
  <si>
    <t>179,00 KG</t>
  </si>
  <si>
    <t>4,80 UND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</si>
  <si>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82% CACAU </t>
    </r>
  </si>
  <si>
    <r>
      <t xml:space="preserve"> 7</t>
    </r>
    <r>
      <rPr>
        <b/>
        <sz val="11"/>
        <color theme="1"/>
        <rFont val="Calibri"/>
        <family val="2"/>
        <scheme val="minor"/>
      </rPr>
      <t xml:space="preserve">0% CACAU 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</si>
  <si>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DIET – SEM LACTOSE </t>
    </r>
  </si>
  <si>
    <t>BOMBOM ESPECIAIS</t>
  </si>
  <si>
    <t>KG - VEM 43 BARRAS - 2,97 CADA</t>
  </si>
  <si>
    <t>1 KG - 43 BARRINHAS</t>
  </si>
  <si>
    <t xml:space="preserve">BARRAS BRANCO </t>
  </si>
  <si>
    <t>MISTA FLOCOS</t>
  </si>
  <si>
    <t>MISTA AMENDOIM</t>
  </si>
  <si>
    <t>MISTA COCO</t>
  </si>
  <si>
    <t>MISTA PURO</t>
  </si>
  <si>
    <t>MISTA MESCLADÃO</t>
  </si>
  <si>
    <t>MISTA CROCANTE</t>
  </si>
  <si>
    <t>MISTA CASTANHA</t>
  </si>
  <si>
    <t xml:space="preserve">BARRAS AO LEITE </t>
  </si>
  <si>
    <t>VALORES  UND</t>
  </si>
  <si>
    <t xml:space="preserve">BARRINHAS 23g – cód 3 UNIDADE </t>
  </si>
  <si>
    <t>BARRINHAS 23g – cód 4 Kg</t>
  </si>
  <si>
    <t>1 KG - 43 BARRINHAS- 2,97 CADA</t>
  </si>
  <si>
    <t>VALORES KG- 71 BOMBONS - 2,09 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</si>
</sst>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44" fontId="0" fillId="0" borderId="0" xfId="1" applyFont="1" applyAlignment="1">
      <alignment vertical="center" wrapText="1"/>
    </xf>
    <xf numFmtId="44" fontId="0" fillId="0" borderId="0" xfId="1" applyFont="1"/>
    <xf numFmtId="0" fontId="2" fillId="0" borderId="0" xfId="0" applyFont="1" applyAlignment="1">
      <alignment vertical="center" wrapText="1"/>
    </xf>
    <xf numFmtId="44" fontId="2" fillId="0" borderId="0" xfId="1" applyFont="1" applyAlignment="1">
      <alignment vertical="center" wrapText="1"/>
    </xf>
    <xf numFmtId="44" fontId="2" fillId="0" borderId="0" xfId="1" applyFont="1"/>
    <xf numFmtId="0" fontId="2" fillId="0" borderId="0" xfId="0" applyFont="1"/>
    <xf numFmtId="0" fontId="2" fillId="0" borderId="1" xfId="0" applyFont="1" applyBorder="1"/>
    <xf numFmtId="44" fontId="2" fillId="0" borderId="1" xfId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4" fontId="0" fillId="0" borderId="0" xfId="1" applyFont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44" fontId="2" fillId="0" borderId="1" xfId="1" applyFont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3" borderId="0" xfId="0" applyFill="1"/>
    <xf numFmtId="44" fontId="0" fillId="3" borderId="0" xfId="1" applyFont="1" applyFill="1"/>
    <xf numFmtId="0" fontId="4" fillId="2" borderId="0" xfId="0" applyFont="1" applyFill="1"/>
    <xf numFmtId="0" fontId="0" fillId="5" borderId="0" xfId="0" applyFill="1"/>
    <xf numFmtId="44" fontId="0" fillId="5" borderId="0" xfId="1" applyFont="1" applyFill="1"/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 wrapText="1"/>
    </xf>
    <xf numFmtId="0" fontId="5" fillId="5" borderId="0" xfId="0" applyFont="1" applyFill="1"/>
    <xf numFmtId="0" fontId="6" fillId="5" borderId="0" xfId="0" applyFont="1" applyFill="1"/>
    <xf numFmtId="44" fontId="6" fillId="5" borderId="0" xfId="1" applyFont="1" applyFill="1"/>
    <xf numFmtId="0" fontId="2" fillId="5" borderId="1" xfId="0" applyFont="1" applyFill="1" applyBorder="1" applyAlignment="1">
      <alignment vertical="center" wrapText="1"/>
    </xf>
    <xf numFmtId="44" fontId="2" fillId="5" borderId="1" xfId="1" applyFont="1" applyFill="1" applyBorder="1"/>
    <xf numFmtId="0" fontId="2" fillId="5" borderId="1" xfId="0" applyFont="1" applyFill="1" applyBorder="1"/>
    <xf numFmtId="44" fontId="2" fillId="5" borderId="1" xfId="0" applyNumberFormat="1" applyFont="1" applyFill="1" applyBorder="1"/>
    <xf numFmtId="0" fontId="2" fillId="0" borderId="0" xfId="0" applyFont="1" applyAlignment="1">
      <alignment horizontal="center" vertical="center" wrapText="1"/>
    </xf>
    <xf numFmtId="44" fontId="0" fillId="0" borderId="1" xfId="0" applyNumberFormat="1" applyBorder="1"/>
    <xf numFmtId="0" fontId="0" fillId="5" borderId="1" xfId="0" applyFill="1" applyBorder="1" applyAlignment="1">
      <alignment vertical="center" wrapText="1"/>
    </xf>
    <xf numFmtId="44" fontId="0" fillId="5" borderId="1" xfId="1" applyFont="1" applyFill="1" applyBorder="1"/>
    <xf numFmtId="44" fontId="0" fillId="5" borderId="1" xfId="0" applyNumberFormat="1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3361-F143-4904-A314-A8396318FB64}">
  <dimension ref="A1:Q295"/>
  <sheetViews>
    <sheetView topLeftCell="A284" workbookViewId="0">
      <selection activeCell="F299" sqref="F299"/>
    </sheetView>
  </sheetViews>
  <sheetFormatPr defaultRowHeight="14.4" x14ac:dyDescent="0.3"/>
  <cols>
    <col min="1" max="1" width="43" customWidth="1"/>
    <col min="2" max="2" width="12.6640625" style="4" customWidth="1"/>
    <col min="6" max="6" width="13.33203125" customWidth="1"/>
    <col min="8" max="8" width="13" customWidth="1"/>
    <col min="11" max="11" width="9.109375" style="4"/>
    <col min="12" max="12" width="15.109375" customWidth="1"/>
  </cols>
  <sheetData>
    <row r="1" spans="1:4" x14ac:dyDescent="0.3">
      <c r="A1" s="45" t="s">
        <v>376</v>
      </c>
      <c r="B1" s="45"/>
      <c r="C1" s="45"/>
      <c r="D1" s="45"/>
    </row>
    <row r="2" spans="1:4" x14ac:dyDescent="0.3">
      <c r="A2" s="9" t="s">
        <v>0</v>
      </c>
      <c r="B2" s="10" t="s">
        <v>153</v>
      </c>
      <c r="C2" s="11" t="s">
        <v>374</v>
      </c>
      <c r="D2" s="11" t="s">
        <v>375</v>
      </c>
    </row>
    <row r="3" spans="1:4" x14ac:dyDescent="0.3">
      <c r="A3" s="12" t="s">
        <v>2</v>
      </c>
      <c r="B3" s="13">
        <v>6.5</v>
      </c>
      <c r="C3" s="14"/>
      <c r="D3" s="14"/>
    </row>
    <row r="4" spans="1:4" x14ac:dyDescent="0.3">
      <c r="A4" s="12" t="s">
        <v>3</v>
      </c>
      <c r="B4" s="13">
        <v>6.5</v>
      </c>
      <c r="C4" s="14"/>
      <c r="D4" s="14"/>
    </row>
    <row r="5" spans="1:4" x14ac:dyDescent="0.3">
      <c r="A5" s="12" t="s">
        <v>4</v>
      </c>
      <c r="B5" s="13">
        <v>11.7</v>
      </c>
      <c r="C5" s="14"/>
      <c r="D5" s="14"/>
    </row>
    <row r="6" spans="1:4" x14ac:dyDescent="0.3">
      <c r="A6" s="12" t="s">
        <v>5</v>
      </c>
      <c r="B6" s="13">
        <v>12.7</v>
      </c>
      <c r="C6" s="14"/>
      <c r="D6" s="14"/>
    </row>
    <row r="7" spans="1:4" x14ac:dyDescent="0.3">
      <c r="A7" s="12" t="s">
        <v>6</v>
      </c>
      <c r="B7" s="13">
        <v>7.9</v>
      </c>
      <c r="C7" s="14"/>
      <c r="D7" s="14"/>
    </row>
    <row r="8" spans="1:4" x14ac:dyDescent="0.3">
      <c r="A8" s="12" t="s">
        <v>7</v>
      </c>
      <c r="B8" s="13">
        <v>5.8</v>
      </c>
      <c r="C8" s="14"/>
      <c r="D8" s="14"/>
    </row>
    <row r="9" spans="1:4" x14ac:dyDescent="0.3">
      <c r="A9" s="12" t="s">
        <v>8</v>
      </c>
      <c r="B9" s="13">
        <v>5.8</v>
      </c>
      <c r="C9" s="14"/>
      <c r="D9" s="14"/>
    </row>
    <row r="10" spans="1:4" x14ac:dyDescent="0.3">
      <c r="A10" s="12" t="s">
        <v>9</v>
      </c>
      <c r="B10" s="13">
        <v>7.5</v>
      </c>
      <c r="C10" s="14"/>
      <c r="D10" s="14"/>
    </row>
    <row r="11" spans="1:4" x14ac:dyDescent="0.3">
      <c r="A11" s="12" t="s">
        <v>10</v>
      </c>
      <c r="B11" s="13">
        <v>7.5</v>
      </c>
      <c r="C11" s="14"/>
      <c r="D11" s="14"/>
    </row>
    <row r="12" spans="1:4" ht="28.8" x14ac:dyDescent="0.3">
      <c r="A12" s="12" t="s">
        <v>11</v>
      </c>
      <c r="B12" s="13">
        <v>7.6</v>
      </c>
      <c r="C12" s="14"/>
      <c r="D12" s="14"/>
    </row>
    <row r="13" spans="1:4" x14ac:dyDescent="0.3">
      <c r="A13" s="12" t="s">
        <v>12</v>
      </c>
      <c r="B13" s="13">
        <v>8.4</v>
      </c>
      <c r="C13" s="14"/>
      <c r="D13" s="14"/>
    </row>
    <row r="14" spans="1:4" x14ac:dyDescent="0.3">
      <c r="A14" s="12" t="s">
        <v>13</v>
      </c>
      <c r="B14" s="13">
        <v>5.3</v>
      </c>
      <c r="C14" s="14"/>
      <c r="D14" s="14"/>
    </row>
    <row r="15" spans="1:4" x14ac:dyDescent="0.3">
      <c r="A15" s="12" t="s">
        <v>14</v>
      </c>
      <c r="B15" s="13">
        <v>5.3</v>
      </c>
      <c r="C15" s="14"/>
      <c r="D15" s="14"/>
    </row>
    <row r="16" spans="1:4" x14ac:dyDescent="0.3">
      <c r="A16" s="12" t="s">
        <v>15</v>
      </c>
      <c r="B16" s="13">
        <v>9.8000000000000007</v>
      </c>
      <c r="C16" s="14"/>
      <c r="D16" s="14"/>
    </row>
    <row r="17" spans="1:4" x14ac:dyDescent="0.3">
      <c r="A17" s="12" t="s">
        <v>16</v>
      </c>
      <c r="B17" s="13">
        <v>9.8000000000000007</v>
      </c>
      <c r="C17" s="14"/>
      <c r="D17" s="14"/>
    </row>
    <row r="18" spans="1:4" x14ac:dyDescent="0.3">
      <c r="A18" s="12" t="s">
        <v>17</v>
      </c>
      <c r="B18" s="13">
        <v>9.8000000000000007</v>
      </c>
      <c r="C18" s="14"/>
      <c r="D18" s="14"/>
    </row>
    <row r="19" spans="1:4" x14ac:dyDescent="0.3">
      <c r="A19" s="12" t="s">
        <v>18</v>
      </c>
      <c r="B19" s="13">
        <v>9.8000000000000007</v>
      </c>
      <c r="C19" s="14"/>
      <c r="D19" s="14"/>
    </row>
    <row r="20" spans="1:4" x14ac:dyDescent="0.3">
      <c r="A20" s="12" t="s">
        <v>19</v>
      </c>
      <c r="B20" s="13">
        <v>9.8000000000000007</v>
      </c>
      <c r="C20" s="14"/>
      <c r="D20" s="14"/>
    </row>
    <row r="21" spans="1:4" x14ac:dyDescent="0.3">
      <c r="A21" s="12" t="s">
        <v>20</v>
      </c>
      <c r="B21" s="13">
        <v>9.8000000000000007</v>
      </c>
      <c r="C21" s="14"/>
      <c r="D21" s="14"/>
    </row>
    <row r="22" spans="1:4" x14ac:dyDescent="0.3">
      <c r="A22" s="12" t="s">
        <v>21</v>
      </c>
      <c r="B22" s="13">
        <v>6.5</v>
      </c>
      <c r="C22" s="14"/>
      <c r="D22" s="14"/>
    </row>
    <row r="23" spans="1:4" x14ac:dyDescent="0.3">
      <c r="A23" s="12" t="s">
        <v>22</v>
      </c>
      <c r="B23" s="13">
        <v>6.5</v>
      </c>
      <c r="C23" s="14"/>
      <c r="D23" s="14"/>
    </row>
    <row r="24" spans="1:4" x14ac:dyDescent="0.3">
      <c r="A24" s="12" t="s">
        <v>23</v>
      </c>
      <c r="B24" s="13">
        <v>15.8</v>
      </c>
      <c r="C24" s="14"/>
      <c r="D24" s="14"/>
    </row>
    <row r="25" spans="1:4" x14ac:dyDescent="0.3">
      <c r="A25" s="12" t="s">
        <v>24</v>
      </c>
      <c r="B25" s="13">
        <v>6.8</v>
      </c>
      <c r="C25" s="14"/>
      <c r="D25" s="14"/>
    </row>
    <row r="26" spans="1:4" x14ac:dyDescent="0.3">
      <c r="A26" s="12" t="s">
        <v>25</v>
      </c>
      <c r="B26" s="13">
        <v>6.8</v>
      </c>
      <c r="C26" s="14"/>
      <c r="D26" s="14"/>
    </row>
    <row r="27" spans="1:4" x14ac:dyDescent="0.3">
      <c r="A27" s="12" t="s">
        <v>26</v>
      </c>
      <c r="B27" s="13">
        <v>6.8</v>
      </c>
      <c r="C27" s="14"/>
      <c r="D27" s="14"/>
    </row>
    <row r="28" spans="1:4" x14ac:dyDescent="0.3">
      <c r="A28" s="12" t="s">
        <v>27</v>
      </c>
      <c r="B28" s="13">
        <v>6.8</v>
      </c>
      <c r="C28" s="14"/>
      <c r="D28" s="14"/>
    </row>
    <row r="29" spans="1:4" x14ac:dyDescent="0.3">
      <c r="A29" s="12" t="s">
        <v>28</v>
      </c>
      <c r="B29" s="13">
        <v>8.4</v>
      </c>
      <c r="C29" s="14"/>
      <c r="D29" s="14"/>
    </row>
    <row r="30" spans="1:4" x14ac:dyDescent="0.3">
      <c r="A30" s="12" t="s">
        <v>29</v>
      </c>
      <c r="B30" s="13">
        <v>15.8</v>
      </c>
      <c r="C30" s="14"/>
      <c r="D30" s="14"/>
    </row>
    <row r="31" spans="1:4" x14ac:dyDescent="0.3">
      <c r="A31" s="12" t="s">
        <v>30</v>
      </c>
      <c r="B31" s="13">
        <v>11.8</v>
      </c>
      <c r="C31" s="14"/>
      <c r="D31" s="14"/>
    </row>
    <row r="32" spans="1:4" x14ac:dyDescent="0.3">
      <c r="A32" s="12" t="s">
        <v>31</v>
      </c>
      <c r="B32" s="13">
        <v>11.8</v>
      </c>
      <c r="C32" s="14"/>
      <c r="D32" s="14"/>
    </row>
    <row r="33" spans="1:4" x14ac:dyDescent="0.3">
      <c r="A33" s="12" t="s">
        <v>32</v>
      </c>
      <c r="B33" s="13">
        <v>8.4</v>
      </c>
      <c r="C33" s="14"/>
      <c r="D33" s="14"/>
    </row>
    <row r="34" spans="1:4" x14ac:dyDescent="0.3">
      <c r="A34" s="12" t="s">
        <v>33</v>
      </c>
      <c r="B34" s="13">
        <v>8.4</v>
      </c>
      <c r="C34" s="14"/>
      <c r="D34" s="14"/>
    </row>
    <row r="35" spans="1:4" x14ac:dyDescent="0.3">
      <c r="A35" s="12" t="s">
        <v>34</v>
      </c>
      <c r="B35" s="13">
        <v>8.4</v>
      </c>
      <c r="C35" s="14"/>
      <c r="D35" s="14"/>
    </row>
    <row r="36" spans="1:4" x14ac:dyDescent="0.3">
      <c r="A36" s="12" t="s">
        <v>35</v>
      </c>
      <c r="B36" s="13">
        <v>8.4</v>
      </c>
      <c r="C36" s="14"/>
      <c r="D36" s="14"/>
    </row>
    <row r="37" spans="1:4" x14ac:dyDescent="0.3">
      <c r="A37" s="12" t="s">
        <v>36</v>
      </c>
      <c r="B37" s="13">
        <v>35.9</v>
      </c>
      <c r="C37" s="14"/>
      <c r="D37" s="14"/>
    </row>
    <row r="38" spans="1:4" x14ac:dyDescent="0.3">
      <c r="A38" s="12" t="s">
        <v>37</v>
      </c>
      <c r="B38" s="13">
        <v>35.9</v>
      </c>
      <c r="C38" s="14"/>
      <c r="D38" s="14"/>
    </row>
    <row r="39" spans="1:4" x14ac:dyDescent="0.3">
      <c r="A39" s="12" t="s">
        <v>38</v>
      </c>
      <c r="B39" s="13">
        <v>39.5</v>
      </c>
      <c r="C39" s="14"/>
      <c r="D39" s="14"/>
    </row>
    <row r="40" spans="1:4" x14ac:dyDescent="0.3">
      <c r="A40" s="12" t="s">
        <v>39</v>
      </c>
      <c r="B40" s="13">
        <v>39.5</v>
      </c>
      <c r="C40" s="14"/>
      <c r="D40" s="14"/>
    </row>
    <row r="41" spans="1:4" x14ac:dyDescent="0.3">
      <c r="A41" s="12" t="s">
        <v>40</v>
      </c>
      <c r="B41" s="13">
        <v>42.5</v>
      </c>
      <c r="C41" s="14"/>
      <c r="D41" s="14"/>
    </row>
    <row r="42" spans="1:4" x14ac:dyDescent="0.3">
      <c r="A42" s="12" t="s">
        <v>41</v>
      </c>
      <c r="B42" s="13">
        <v>74.5</v>
      </c>
      <c r="C42" s="14"/>
      <c r="D42" s="14"/>
    </row>
    <row r="43" spans="1:4" x14ac:dyDescent="0.3">
      <c r="A43" s="12" t="s">
        <v>42</v>
      </c>
      <c r="B43" s="13">
        <v>74.5</v>
      </c>
      <c r="C43" s="14"/>
      <c r="D43" s="14"/>
    </row>
    <row r="44" spans="1:4" x14ac:dyDescent="0.3">
      <c r="A44" s="12" t="s">
        <v>43</v>
      </c>
      <c r="B44" s="13">
        <v>74.5</v>
      </c>
      <c r="C44" s="14"/>
      <c r="D44" s="14"/>
    </row>
    <row r="45" spans="1:4" x14ac:dyDescent="0.3">
      <c r="A45" s="12" t="s">
        <v>44</v>
      </c>
      <c r="B45" s="13">
        <v>11.7</v>
      </c>
      <c r="C45" s="14"/>
      <c r="D45" s="14"/>
    </row>
    <row r="46" spans="1:4" x14ac:dyDescent="0.3">
      <c r="A46" s="12" t="s">
        <v>45</v>
      </c>
      <c r="B46" s="13">
        <v>15.8</v>
      </c>
      <c r="C46" s="14"/>
      <c r="D46" s="14"/>
    </row>
    <row r="47" spans="1:4" x14ac:dyDescent="0.3">
      <c r="A47" s="12" t="s">
        <v>46</v>
      </c>
      <c r="B47" s="13">
        <v>11.7</v>
      </c>
      <c r="C47" s="14"/>
      <c r="D47" s="14"/>
    </row>
    <row r="48" spans="1:4" x14ac:dyDescent="0.3">
      <c r="A48" s="12" t="s">
        <v>47</v>
      </c>
      <c r="B48" s="13">
        <v>6.5</v>
      </c>
      <c r="C48" s="14"/>
      <c r="D48" s="14"/>
    </row>
    <row r="49" spans="1:4" x14ac:dyDescent="0.3">
      <c r="A49" s="12" t="s">
        <v>48</v>
      </c>
      <c r="B49" s="13">
        <v>11.7</v>
      </c>
      <c r="C49" s="14"/>
      <c r="D49" s="14"/>
    </row>
    <row r="50" spans="1:4" x14ac:dyDescent="0.3">
      <c r="A50" s="12" t="s">
        <v>49</v>
      </c>
      <c r="B50" s="13">
        <v>3.8</v>
      </c>
      <c r="C50" s="14"/>
      <c r="D50" s="14"/>
    </row>
    <row r="51" spans="1:4" x14ac:dyDescent="0.3">
      <c r="A51" s="12" t="s">
        <v>50</v>
      </c>
      <c r="B51" s="13">
        <v>3.8</v>
      </c>
      <c r="C51" s="14"/>
      <c r="D51" s="14"/>
    </row>
    <row r="52" spans="1:4" x14ac:dyDescent="0.3">
      <c r="A52" s="12" t="s">
        <v>51</v>
      </c>
      <c r="B52" s="13">
        <v>13.4</v>
      </c>
      <c r="C52" s="14"/>
      <c r="D52" s="14"/>
    </row>
    <row r="53" spans="1:4" x14ac:dyDescent="0.3">
      <c r="A53" s="12" t="s">
        <v>52</v>
      </c>
      <c r="B53" s="13">
        <v>13.4</v>
      </c>
      <c r="C53" s="14"/>
      <c r="D53" s="14"/>
    </row>
    <row r="54" spans="1:4" x14ac:dyDescent="0.3">
      <c r="A54" s="12" t="s">
        <v>53</v>
      </c>
      <c r="B54" s="13">
        <v>6.5</v>
      </c>
      <c r="C54" s="14"/>
      <c r="D54" s="14"/>
    </row>
    <row r="55" spans="1:4" x14ac:dyDescent="0.3">
      <c r="A55" s="12" t="s">
        <v>54</v>
      </c>
      <c r="B55" s="13">
        <v>6.5</v>
      </c>
      <c r="C55" s="14"/>
      <c r="D55" s="14"/>
    </row>
    <row r="56" spans="1:4" x14ac:dyDescent="0.3">
      <c r="A56" s="12" t="s">
        <v>55</v>
      </c>
      <c r="B56" s="13">
        <v>6.5</v>
      </c>
      <c r="C56" s="14"/>
      <c r="D56" s="14"/>
    </row>
    <row r="57" spans="1:4" x14ac:dyDescent="0.3">
      <c r="A57" s="12" t="s">
        <v>56</v>
      </c>
      <c r="B57" s="13">
        <v>6.5</v>
      </c>
      <c r="C57" s="14"/>
      <c r="D57" s="14"/>
    </row>
    <row r="58" spans="1:4" x14ac:dyDescent="0.3">
      <c r="A58" s="12" t="s">
        <v>57</v>
      </c>
      <c r="B58" s="13">
        <v>8.6999999999999993</v>
      </c>
      <c r="C58" s="14"/>
      <c r="D58" s="14"/>
    </row>
    <row r="59" spans="1:4" x14ac:dyDescent="0.3">
      <c r="A59" s="12" t="s">
        <v>58</v>
      </c>
      <c r="B59" s="13">
        <v>23.5</v>
      </c>
      <c r="C59" s="14"/>
      <c r="D59" s="14"/>
    </row>
    <row r="60" spans="1:4" x14ac:dyDescent="0.3">
      <c r="A60" s="12" t="s">
        <v>59</v>
      </c>
      <c r="B60" s="13">
        <v>23.5</v>
      </c>
      <c r="C60" s="14"/>
      <c r="D60" s="14"/>
    </row>
    <row r="61" spans="1:4" x14ac:dyDescent="0.3">
      <c r="A61" s="12" t="s">
        <v>60</v>
      </c>
      <c r="B61" s="13">
        <v>4</v>
      </c>
      <c r="C61" s="14"/>
      <c r="D61" s="14"/>
    </row>
    <row r="62" spans="1:4" x14ac:dyDescent="0.3">
      <c r="A62" s="12" t="s">
        <v>61</v>
      </c>
      <c r="B62" s="13">
        <v>6.5</v>
      </c>
      <c r="C62" s="14"/>
      <c r="D62" s="14"/>
    </row>
    <row r="63" spans="1:4" x14ac:dyDescent="0.3">
      <c r="A63" s="12" t="s">
        <v>62</v>
      </c>
      <c r="B63" s="13">
        <v>6.5</v>
      </c>
      <c r="C63" s="14"/>
      <c r="D63" s="14"/>
    </row>
    <row r="64" spans="1:4" x14ac:dyDescent="0.3">
      <c r="A64" s="12" t="s">
        <v>63</v>
      </c>
      <c r="B64" s="13">
        <v>3.9</v>
      </c>
      <c r="C64" s="14"/>
      <c r="D64" s="14"/>
    </row>
    <row r="65" spans="1:4" x14ac:dyDescent="0.3">
      <c r="A65" s="12" t="s">
        <v>64</v>
      </c>
      <c r="B65" s="13">
        <v>3.9</v>
      </c>
      <c r="C65" s="14"/>
      <c r="D65" s="14"/>
    </row>
    <row r="66" spans="1:4" x14ac:dyDescent="0.3">
      <c r="A66" s="12" t="s">
        <v>65</v>
      </c>
      <c r="B66" s="13">
        <v>7.5</v>
      </c>
      <c r="C66" s="14"/>
      <c r="D66" s="14"/>
    </row>
    <row r="67" spans="1:4" x14ac:dyDescent="0.3">
      <c r="A67" s="12" t="s">
        <v>66</v>
      </c>
      <c r="B67" s="13">
        <v>3.9</v>
      </c>
      <c r="C67" s="14"/>
      <c r="D67" s="14"/>
    </row>
    <row r="68" spans="1:4" x14ac:dyDescent="0.3">
      <c r="A68" s="12" t="s">
        <v>67</v>
      </c>
      <c r="B68" s="13">
        <v>15.8</v>
      </c>
      <c r="C68" s="14"/>
      <c r="D68" s="14"/>
    </row>
    <row r="69" spans="1:4" x14ac:dyDescent="0.3">
      <c r="A69" s="12" t="s">
        <v>68</v>
      </c>
      <c r="B69" s="13">
        <v>6.5</v>
      </c>
      <c r="C69" s="14"/>
      <c r="D69" s="14"/>
    </row>
    <row r="70" spans="1:4" x14ac:dyDescent="0.3">
      <c r="A70" s="12" t="s">
        <v>69</v>
      </c>
      <c r="B70" s="13">
        <v>1.9</v>
      </c>
      <c r="C70" s="14"/>
      <c r="D70" s="14"/>
    </row>
    <row r="71" spans="1:4" x14ac:dyDescent="0.3">
      <c r="A71" s="12" t="s">
        <v>70</v>
      </c>
      <c r="B71" s="13">
        <v>1.9</v>
      </c>
      <c r="C71" s="14"/>
      <c r="D71" s="14"/>
    </row>
    <row r="72" spans="1:4" x14ac:dyDescent="0.3">
      <c r="A72" s="12" t="s">
        <v>71</v>
      </c>
      <c r="B72" s="13">
        <v>5.3</v>
      </c>
      <c r="C72" s="14"/>
      <c r="D72" s="14"/>
    </row>
    <row r="73" spans="1:4" x14ac:dyDescent="0.3">
      <c r="A73" s="12" t="s">
        <v>72</v>
      </c>
      <c r="B73" s="13">
        <v>5.3</v>
      </c>
      <c r="C73" s="14"/>
      <c r="D73" s="14"/>
    </row>
    <row r="74" spans="1:4" x14ac:dyDescent="0.3">
      <c r="A74" s="12" t="s">
        <v>73</v>
      </c>
      <c r="B74" s="13">
        <v>8.6999999999999993</v>
      </c>
      <c r="C74" s="14"/>
      <c r="D74" s="14"/>
    </row>
    <row r="75" spans="1:4" x14ac:dyDescent="0.3">
      <c r="A75" s="12" t="s">
        <v>74</v>
      </c>
      <c r="B75" s="13">
        <v>18.600000000000001</v>
      </c>
      <c r="C75" s="14"/>
      <c r="D75" s="14"/>
    </row>
    <row r="76" spans="1:4" x14ac:dyDescent="0.3">
      <c r="A76" s="12" t="s">
        <v>75</v>
      </c>
      <c r="B76" s="13">
        <v>18.600000000000001</v>
      </c>
      <c r="C76" s="14"/>
      <c r="D76" s="14"/>
    </row>
    <row r="77" spans="1:4" x14ac:dyDescent="0.3">
      <c r="A77" s="12" t="s">
        <v>76</v>
      </c>
      <c r="B77" s="13">
        <v>5.5</v>
      </c>
      <c r="C77" s="14"/>
      <c r="D77" s="14"/>
    </row>
    <row r="78" spans="1:4" x14ac:dyDescent="0.3">
      <c r="A78" s="12" t="s">
        <v>77</v>
      </c>
      <c r="B78" s="13">
        <v>5.5</v>
      </c>
      <c r="C78" s="14"/>
      <c r="D78" s="14"/>
    </row>
    <row r="79" spans="1:4" x14ac:dyDescent="0.3">
      <c r="A79" s="12" t="s">
        <v>78</v>
      </c>
      <c r="B79" s="13">
        <v>3.9</v>
      </c>
      <c r="C79" s="14"/>
      <c r="D79" s="14"/>
    </row>
    <row r="80" spans="1:4" x14ac:dyDescent="0.3">
      <c r="A80" s="12" t="s">
        <v>79</v>
      </c>
      <c r="B80" s="13">
        <v>5.3</v>
      </c>
      <c r="C80" s="14"/>
      <c r="D80" s="14"/>
    </row>
    <row r="81" spans="1:4" x14ac:dyDescent="0.3">
      <c r="A81" s="12" t="s">
        <v>80</v>
      </c>
      <c r="B81" s="13">
        <v>5.3</v>
      </c>
      <c r="C81" s="14"/>
      <c r="D81" s="14"/>
    </row>
    <row r="82" spans="1:4" x14ac:dyDescent="0.3">
      <c r="A82" s="12" t="s">
        <v>81</v>
      </c>
      <c r="B82" s="13">
        <v>4.5999999999999996</v>
      </c>
      <c r="C82" s="14"/>
      <c r="D82" s="14"/>
    </row>
    <row r="83" spans="1:4" x14ac:dyDescent="0.3">
      <c r="A83" s="12" t="s">
        <v>82</v>
      </c>
      <c r="B83" s="13">
        <v>4.5999999999999996</v>
      </c>
      <c r="C83" s="14"/>
      <c r="D83" s="14"/>
    </row>
    <row r="84" spans="1:4" x14ac:dyDescent="0.3">
      <c r="A84" s="12" t="s">
        <v>83</v>
      </c>
      <c r="B84" s="13">
        <v>3.4</v>
      </c>
      <c r="C84" s="14"/>
      <c r="D84" s="14"/>
    </row>
    <row r="85" spans="1:4" x14ac:dyDescent="0.3">
      <c r="A85" s="12" t="s">
        <v>152</v>
      </c>
      <c r="B85" s="13">
        <v>6.7</v>
      </c>
      <c r="C85" s="14"/>
      <c r="D85" s="14"/>
    </row>
    <row r="86" spans="1:4" ht="28.8" x14ac:dyDescent="0.3">
      <c r="A86" s="12" t="s">
        <v>84</v>
      </c>
      <c r="B86" s="13">
        <v>6.7</v>
      </c>
      <c r="C86" s="14"/>
      <c r="D86" s="14"/>
    </row>
    <row r="87" spans="1:4" x14ac:dyDescent="0.3">
      <c r="A87" s="12" t="s">
        <v>85</v>
      </c>
      <c r="B87" s="13">
        <v>5.5</v>
      </c>
      <c r="C87" s="14"/>
      <c r="D87" s="14"/>
    </row>
    <row r="88" spans="1:4" x14ac:dyDescent="0.3">
      <c r="A88" s="12" t="s">
        <v>86</v>
      </c>
      <c r="B88" s="13">
        <v>6.8</v>
      </c>
      <c r="C88" s="14"/>
      <c r="D88" s="14"/>
    </row>
    <row r="89" spans="1:4" x14ac:dyDescent="0.3">
      <c r="A89" s="12" t="s">
        <v>87</v>
      </c>
      <c r="B89" s="13">
        <v>6.5</v>
      </c>
      <c r="C89" s="14"/>
      <c r="D89" s="14"/>
    </row>
    <row r="90" spans="1:4" x14ac:dyDescent="0.3">
      <c r="A90" s="12" t="s">
        <v>88</v>
      </c>
      <c r="B90" s="13">
        <v>6.5</v>
      </c>
      <c r="C90" s="14"/>
      <c r="D90" s="14"/>
    </row>
    <row r="91" spans="1:4" x14ac:dyDescent="0.3">
      <c r="A91" s="12" t="s">
        <v>89</v>
      </c>
      <c r="B91" s="13">
        <v>15.8</v>
      </c>
      <c r="C91" s="14"/>
      <c r="D91" s="14"/>
    </row>
    <row r="92" spans="1:4" x14ac:dyDescent="0.3">
      <c r="A92" s="12" t="s">
        <v>90</v>
      </c>
      <c r="B92" s="13">
        <v>15.8</v>
      </c>
      <c r="C92" s="14"/>
      <c r="D92" s="14"/>
    </row>
    <row r="93" spans="1:4" x14ac:dyDescent="0.3">
      <c r="A93" s="12" t="s">
        <v>91</v>
      </c>
      <c r="B93" s="13">
        <v>4</v>
      </c>
      <c r="C93" s="14"/>
      <c r="D93" s="14"/>
    </row>
    <row r="94" spans="1:4" x14ac:dyDescent="0.3">
      <c r="A94" s="12" t="s">
        <v>92</v>
      </c>
      <c r="B94" s="13">
        <v>6.8</v>
      </c>
      <c r="C94" s="14"/>
      <c r="D94" s="14"/>
    </row>
    <row r="95" spans="1:4" x14ac:dyDescent="0.3">
      <c r="A95" s="12" t="s">
        <v>93</v>
      </c>
      <c r="B95" s="13">
        <v>6.8</v>
      </c>
      <c r="C95" s="14"/>
      <c r="D95" s="14"/>
    </row>
    <row r="96" spans="1:4" x14ac:dyDescent="0.3">
      <c r="A96" s="12" t="s">
        <v>94</v>
      </c>
      <c r="B96" s="13">
        <v>13.4</v>
      </c>
      <c r="C96" s="14"/>
      <c r="D96" s="14"/>
    </row>
    <row r="97" spans="1:17" x14ac:dyDescent="0.3">
      <c r="A97" s="12" t="s">
        <v>95</v>
      </c>
      <c r="B97" s="13">
        <v>13.4</v>
      </c>
      <c r="C97" s="14"/>
      <c r="D97" s="14"/>
      <c r="H97" s="5"/>
      <c r="I97" s="5"/>
      <c r="J97" s="6"/>
      <c r="K97" s="6"/>
      <c r="N97" s="5"/>
      <c r="O97" s="5"/>
      <c r="P97" s="5"/>
      <c r="Q97" s="46" t="s">
        <v>154</v>
      </c>
    </row>
    <row r="98" spans="1:17" ht="15" customHeight="1" x14ac:dyDescent="0.3">
      <c r="A98" s="16" t="s">
        <v>377</v>
      </c>
      <c r="H98" s="5"/>
      <c r="I98" s="5"/>
      <c r="J98" s="6"/>
      <c r="K98" s="6"/>
      <c r="N98" s="5"/>
      <c r="O98" s="5"/>
      <c r="P98" s="5"/>
      <c r="Q98" s="46"/>
    </row>
    <row r="99" spans="1:17" ht="15" customHeight="1" x14ac:dyDescent="0.3">
      <c r="A99" s="12" t="s">
        <v>96</v>
      </c>
      <c r="B99" s="13">
        <v>4.4000000000000004</v>
      </c>
      <c r="C99" s="14"/>
      <c r="D99" s="14"/>
      <c r="H99" s="1"/>
      <c r="J99" s="1"/>
      <c r="K99" s="1"/>
      <c r="N99" s="2"/>
      <c r="O99" s="2"/>
      <c r="P99" s="2"/>
      <c r="Q99" s="2"/>
    </row>
    <row r="100" spans="1:17" ht="15" customHeight="1" x14ac:dyDescent="0.3">
      <c r="A100" s="12" t="s">
        <v>97</v>
      </c>
      <c r="B100" s="13">
        <v>4.4000000000000004</v>
      </c>
      <c r="C100" s="14"/>
      <c r="D100" s="14"/>
      <c r="H100" s="1"/>
      <c r="J100" s="2"/>
      <c r="K100" s="2"/>
      <c r="N100" s="5"/>
      <c r="P100" s="2"/>
      <c r="Q100" s="2"/>
    </row>
    <row r="101" spans="1:17" ht="15" customHeight="1" x14ac:dyDescent="0.3">
      <c r="A101" s="12" t="s">
        <v>99</v>
      </c>
      <c r="B101" s="13">
        <v>4.4000000000000004</v>
      </c>
      <c r="C101" s="14"/>
      <c r="D101" s="14"/>
      <c r="H101" s="1"/>
      <c r="I101" s="1"/>
      <c r="J101" s="2"/>
      <c r="K101" s="2"/>
      <c r="N101" s="1"/>
      <c r="O101" s="1"/>
      <c r="P101" s="1"/>
      <c r="Q101" s="1"/>
    </row>
    <row r="102" spans="1:17" ht="15" customHeight="1" x14ac:dyDescent="0.3">
      <c r="A102" s="12" t="s">
        <v>100</v>
      </c>
      <c r="B102" s="13">
        <v>4.4000000000000004</v>
      </c>
      <c r="C102" s="14"/>
      <c r="D102" s="14"/>
      <c r="H102" s="1"/>
      <c r="I102" s="1"/>
      <c r="J102" s="1"/>
      <c r="K102" s="1"/>
      <c r="L102" s="2"/>
      <c r="M102" s="2"/>
      <c r="N102" s="2"/>
      <c r="O102" s="2"/>
      <c r="P102" s="2"/>
      <c r="Q102" s="2"/>
    </row>
    <row r="103" spans="1:17" ht="15" customHeight="1" x14ac:dyDescent="0.3">
      <c r="A103" s="12" t="s">
        <v>98</v>
      </c>
      <c r="B103" s="13">
        <v>4.4000000000000004</v>
      </c>
      <c r="C103" s="14"/>
      <c r="D103" s="14"/>
      <c r="I103" s="2"/>
      <c r="J103" s="2"/>
      <c r="P103" s="46" t="s">
        <v>154</v>
      </c>
      <c r="Q103" s="46"/>
    </row>
    <row r="104" spans="1:17" ht="15" customHeight="1" x14ac:dyDescent="0.3">
      <c r="A104" s="12" t="s">
        <v>101</v>
      </c>
      <c r="B104" s="13">
        <v>4.4000000000000004</v>
      </c>
      <c r="C104" s="14"/>
      <c r="D104" s="14"/>
      <c r="J104" s="2"/>
      <c r="P104" s="2"/>
      <c r="Q104" s="2"/>
    </row>
    <row r="105" spans="1:17" ht="15" customHeight="1" x14ac:dyDescent="0.3">
      <c r="A105" s="12" t="s">
        <v>102</v>
      </c>
      <c r="B105" s="13">
        <v>4.4000000000000004</v>
      </c>
      <c r="C105" s="14"/>
      <c r="D105" s="14"/>
      <c r="J105" s="2"/>
      <c r="P105" s="2"/>
      <c r="Q105" s="2"/>
    </row>
    <row r="106" spans="1:17" ht="15" customHeight="1" x14ac:dyDescent="0.3">
      <c r="A106" s="12" t="s">
        <v>103</v>
      </c>
      <c r="B106" s="13">
        <v>4.4000000000000004</v>
      </c>
      <c r="C106" s="14"/>
      <c r="D106" s="14"/>
      <c r="J106" s="2"/>
      <c r="P106" s="2"/>
      <c r="Q106" s="2"/>
    </row>
    <row r="107" spans="1:17" ht="15" customHeight="1" x14ac:dyDescent="0.3">
      <c r="A107" s="12" t="s">
        <v>104</v>
      </c>
      <c r="B107" s="13">
        <v>4.4000000000000004</v>
      </c>
      <c r="C107" s="14"/>
      <c r="D107" s="14"/>
      <c r="J107" s="2"/>
      <c r="P107" s="2"/>
      <c r="Q107" s="2"/>
    </row>
    <row r="108" spans="1:17" ht="15" customHeight="1" x14ac:dyDescent="0.3">
      <c r="A108" s="12" t="s">
        <v>106</v>
      </c>
      <c r="B108" s="13">
        <v>4.4000000000000004</v>
      </c>
      <c r="C108" s="14"/>
      <c r="D108" s="14"/>
      <c r="J108" s="2"/>
      <c r="P108" s="2"/>
      <c r="Q108" s="2"/>
    </row>
    <row r="109" spans="1:17" ht="15" customHeight="1" x14ac:dyDescent="0.3">
      <c r="A109" s="12" t="s">
        <v>108</v>
      </c>
      <c r="B109" s="13">
        <v>4.4000000000000004</v>
      </c>
      <c r="C109" s="14"/>
      <c r="D109" s="14"/>
      <c r="G109" s="1"/>
      <c r="H109" s="1"/>
      <c r="I109" s="1"/>
      <c r="J109" s="1"/>
      <c r="P109" s="2"/>
      <c r="Q109" s="2"/>
    </row>
    <row r="110" spans="1:17" ht="15" customHeight="1" x14ac:dyDescent="0.3">
      <c r="A110" s="12" t="s">
        <v>110</v>
      </c>
      <c r="B110" s="13">
        <v>4.4000000000000004</v>
      </c>
      <c r="C110" s="14"/>
      <c r="D110" s="14"/>
      <c r="G110" s="1"/>
      <c r="H110" s="1"/>
      <c r="I110" s="1"/>
      <c r="J110" s="1"/>
      <c r="P110" s="2"/>
      <c r="Q110" s="2"/>
    </row>
    <row r="111" spans="1:17" x14ac:dyDescent="0.3">
      <c r="A111" s="17" t="s">
        <v>157</v>
      </c>
      <c r="B111" s="6"/>
      <c r="C111" s="5"/>
      <c r="D111" s="5"/>
      <c r="J111" s="5" t="s">
        <v>154</v>
      </c>
      <c r="K111" s="5"/>
      <c r="L111" s="5"/>
      <c r="M111" s="5"/>
      <c r="N111" s="6"/>
      <c r="O111" s="6"/>
      <c r="P111" s="6"/>
      <c r="Q111" s="5" t="s">
        <v>154</v>
      </c>
    </row>
    <row r="112" spans="1:17" ht="15" customHeight="1" x14ac:dyDescent="0.3">
      <c r="A112" s="12" t="s">
        <v>113</v>
      </c>
      <c r="B112" s="13">
        <v>6.9</v>
      </c>
      <c r="C112" s="14"/>
      <c r="D112" s="14"/>
      <c r="J112" s="2"/>
      <c r="K112" s="2"/>
      <c r="M112" s="1"/>
      <c r="N112" s="1"/>
      <c r="P112" s="2"/>
      <c r="Q112" s="2"/>
    </row>
    <row r="113" spans="1:4" x14ac:dyDescent="0.3">
      <c r="A113" s="12" t="s">
        <v>115</v>
      </c>
      <c r="B113" s="13">
        <v>6.9</v>
      </c>
      <c r="C113" s="14"/>
      <c r="D113" s="14"/>
    </row>
    <row r="114" spans="1:4" x14ac:dyDescent="0.3">
      <c r="A114" s="12" t="s">
        <v>117</v>
      </c>
      <c r="B114" s="13">
        <v>6.9</v>
      </c>
      <c r="C114" s="14"/>
      <c r="D114" s="14"/>
    </row>
    <row r="115" spans="1:4" x14ac:dyDescent="0.3">
      <c r="A115" s="12" t="s">
        <v>119</v>
      </c>
      <c r="B115" s="13">
        <v>6.9</v>
      </c>
      <c r="C115" s="14"/>
      <c r="D115" s="14"/>
    </row>
    <row r="116" spans="1:4" x14ac:dyDescent="0.3">
      <c r="A116" s="12" t="s">
        <v>121</v>
      </c>
      <c r="B116" s="13">
        <v>6.9</v>
      </c>
      <c r="C116" s="14"/>
      <c r="D116" s="14"/>
    </row>
    <row r="117" spans="1:4" x14ac:dyDescent="0.3">
      <c r="A117" s="12" t="s">
        <v>123</v>
      </c>
      <c r="B117" s="13">
        <v>6.9</v>
      </c>
      <c r="C117" s="14"/>
      <c r="D117" s="14"/>
    </row>
    <row r="118" spans="1:4" x14ac:dyDescent="0.3">
      <c r="A118" s="12" t="s">
        <v>125</v>
      </c>
      <c r="B118" s="13">
        <v>6.9</v>
      </c>
      <c r="C118" s="14"/>
      <c r="D118" s="14"/>
    </row>
    <row r="119" spans="1:4" x14ac:dyDescent="0.3">
      <c r="A119" s="12" t="s">
        <v>127</v>
      </c>
      <c r="B119" s="13">
        <v>6.9</v>
      </c>
      <c r="C119" s="14"/>
      <c r="D119" s="14"/>
    </row>
    <row r="120" spans="1:4" x14ac:dyDescent="0.3">
      <c r="A120" s="12" t="s">
        <v>129</v>
      </c>
      <c r="B120" s="13">
        <v>6.9</v>
      </c>
      <c r="C120" s="14"/>
      <c r="D120" s="14"/>
    </row>
    <row r="121" spans="1:4" x14ac:dyDescent="0.3">
      <c r="A121" s="12" t="s">
        <v>131</v>
      </c>
      <c r="B121" s="13">
        <v>6.9</v>
      </c>
      <c r="C121" s="14"/>
      <c r="D121" s="14"/>
    </row>
    <row r="122" spans="1:4" x14ac:dyDescent="0.3">
      <c r="A122" s="12" t="s">
        <v>133</v>
      </c>
      <c r="B122" s="13">
        <v>6.9</v>
      </c>
      <c r="C122" s="14"/>
      <c r="D122" s="14"/>
    </row>
    <row r="123" spans="1:4" x14ac:dyDescent="0.3">
      <c r="A123" s="12" t="s">
        <v>134</v>
      </c>
      <c r="B123" s="13">
        <v>6.9</v>
      </c>
      <c r="C123" s="14"/>
      <c r="D123" s="14"/>
    </row>
    <row r="124" spans="1:4" x14ac:dyDescent="0.3">
      <c r="A124" s="12" t="s">
        <v>135</v>
      </c>
      <c r="B124" s="13">
        <v>6.9</v>
      </c>
      <c r="C124" s="14"/>
      <c r="D124" s="14"/>
    </row>
    <row r="125" spans="1:4" x14ac:dyDescent="0.3">
      <c r="A125" s="12" t="s">
        <v>137</v>
      </c>
      <c r="B125" s="13">
        <v>6.9</v>
      </c>
      <c r="C125" s="14"/>
      <c r="D125" s="14"/>
    </row>
    <row r="126" spans="1:4" x14ac:dyDescent="0.3">
      <c r="A126" s="12" t="s">
        <v>138</v>
      </c>
      <c r="B126" s="13">
        <v>6.9</v>
      </c>
      <c r="C126" s="14"/>
      <c r="D126" s="14"/>
    </row>
    <row r="127" spans="1:4" x14ac:dyDescent="0.3">
      <c r="A127" s="12" t="s">
        <v>140</v>
      </c>
      <c r="B127" s="13">
        <v>6.9</v>
      </c>
      <c r="C127" s="14"/>
      <c r="D127" s="14"/>
    </row>
    <row r="128" spans="1:4" x14ac:dyDescent="0.3">
      <c r="A128" s="12" t="s">
        <v>141</v>
      </c>
      <c r="B128" s="13">
        <v>6.9</v>
      </c>
      <c r="C128" s="14"/>
      <c r="D128" s="14"/>
    </row>
    <row r="129" spans="1:10" x14ac:dyDescent="0.3">
      <c r="A129" s="12" t="s">
        <v>143</v>
      </c>
      <c r="B129" s="13">
        <v>6.9</v>
      </c>
      <c r="C129" s="14"/>
      <c r="D129" s="14"/>
    </row>
    <row r="130" spans="1:10" x14ac:dyDescent="0.3">
      <c r="A130" s="12" t="s">
        <v>145</v>
      </c>
      <c r="B130" s="13">
        <v>6.9</v>
      </c>
      <c r="C130" s="14"/>
      <c r="D130" s="14"/>
    </row>
    <row r="131" spans="1:10" x14ac:dyDescent="0.3">
      <c r="A131" s="12" t="s">
        <v>147</v>
      </c>
      <c r="B131" s="13">
        <v>6.9</v>
      </c>
      <c r="C131" s="14"/>
      <c r="D131" s="14"/>
    </row>
    <row r="132" spans="1:10" x14ac:dyDescent="0.3">
      <c r="A132" s="12" t="s">
        <v>149</v>
      </c>
      <c r="B132" s="13">
        <v>6.9</v>
      </c>
      <c r="C132" s="14"/>
      <c r="D132" s="14"/>
    </row>
    <row r="133" spans="1:10" x14ac:dyDescent="0.3">
      <c r="A133" s="12" t="s">
        <v>151</v>
      </c>
      <c r="B133" s="13">
        <v>6.9</v>
      </c>
      <c r="C133" s="14"/>
      <c r="D133" s="14"/>
    </row>
    <row r="134" spans="1:10" x14ac:dyDescent="0.3">
      <c r="A134" s="12" t="s">
        <v>114</v>
      </c>
      <c r="B134" s="13">
        <v>6.9</v>
      </c>
      <c r="C134" s="14"/>
      <c r="D134" s="14"/>
    </row>
    <row r="135" spans="1:10" ht="15" customHeight="1" x14ac:dyDescent="0.3">
      <c r="A135" s="12" t="s">
        <v>116</v>
      </c>
      <c r="B135" s="13">
        <v>6.9</v>
      </c>
      <c r="C135" s="14"/>
      <c r="D135" s="14"/>
      <c r="H135" s="5"/>
      <c r="I135" s="5"/>
      <c r="J135" s="5"/>
    </row>
    <row r="136" spans="1:10" ht="15" customHeight="1" x14ac:dyDescent="0.3">
      <c r="A136" s="12" t="s">
        <v>118</v>
      </c>
      <c r="B136" s="13">
        <v>6.9</v>
      </c>
      <c r="C136" s="14"/>
      <c r="D136" s="14"/>
      <c r="H136" s="1"/>
      <c r="I136" s="1"/>
    </row>
    <row r="137" spans="1:10" ht="15" customHeight="1" x14ac:dyDescent="0.3">
      <c r="A137" s="12" t="s">
        <v>120</v>
      </c>
      <c r="B137" s="13">
        <v>6.9</v>
      </c>
      <c r="C137" s="14"/>
      <c r="D137" s="14"/>
      <c r="H137" s="1"/>
      <c r="I137" s="1"/>
    </row>
    <row r="138" spans="1:10" ht="15" customHeight="1" x14ac:dyDescent="0.3">
      <c r="A138" s="12" t="s">
        <v>122</v>
      </c>
      <c r="B138" s="13">
        <v>6.9</v>
      </c>
      <c r="C138" s="14"/>
      <c r="D138" s="14"/>
      <c r="H138" s="1"/>
      <c r="I138" s="1"/>
    </row>
    <row r="139" spans="1:10" ht="15" customHeight="1" x14ac:dyDescent="0.3">
      <c r="A139" s="12" t="s">
        <v>124</v>
      </c>
      <c r="B139" s="13">
        <v>6.9</v>
      </c>
      <c r="C139" s="14"/>
      <c r="D139" s="14"/>
      <c r="H139" s="1"/>
      <c r="I139" s="1"/>
    </row>
    <row r="140" spans="1:10" ht="15" customHeight="1" x14ac:dyDescent="0.3">
      <c r="A140" s="12" t="s">
        <v>126</v>
      </c>
      <c r="B140" s="13">
        <v>6.9</v>
      </c>
      <c r="C140" s="14"/>
      <c r="D140" s="14"/>
      <c r="H140" s="1"/>
      <c r="I140" s="1"/>
    </row>
    <row r="141" spans="1:10" x14ac:dyDescent="0.3">
      <c r="A141" s="12" t="s">
        <v>128</v>
      </c>
      <c r="B141" s="13">
        <v>6.9</v>
      </c>
      <c r="C141" s="14"/>
      <c r="D141" s="14"/>
      <c r="H141" s="2"/>
      <c r="I141" s="2"/>
    </row>
    <row r="142" spans="1:10" x14ac:dyDescent="0.3">
      <c r="A142" s="12" t="s">
        <v>130</v>
      </c>
      <c r="B142" s="13">
        <v>6.9</v>
      </c>
      <c r="C142" s="14"/>
      <c r="D142" s="14"/>
      <c r="H142" s="2"/>
      <c r="I142" s="2"/>
    </row>
    <row r="143" spans="1:10" x14ac:dyDescent="0.3">
      <c r="A143" s="12" t="s">
        <v>132</v>
      </c>
      <c r="B143" s="13">
        <v>6.9</v>
      </c>
      <c r="C143" s="14"/>
      <c r="D143" s="14"/>
    </row>
    <row r="144" spans="1:10" x14ac:dyDescent="0.3">
      <c r="A144" s="12" t="s">
        <v>98</v>
      </c>
      <c r="B144" s="13">
        <v>6.9</v>
      </c>
      <c r="C144" s="14"/>
      <c r="D144" s="14"/>
    </row>
    <row r="145" spans="1:4" x14ac:dyDescent="0.3">
      <c r="A145" s="12" t="s">
        <v>99</v>
      </c>
      <c r="B145" s="13">
        <v>6.9</v>
      </c>
      <c r="C145" s="14"/>
      <c r="D145" s="14"/>
    </row>
    <row r="146" spans="1:4" x14ac:dyDescent="0.3">
      <c r="A146" s="12" t="s">
        <v>136</v>
      </c>
      <c r="B146" s="13">
        <v>6.9</v>
      </c>
      <c r="C146" s="14"/>
      <c r="D146" s="14"/>
    </row>
    <row r="147" spans="1:4" x14ac:dyDescent="0.3">
      <c r="A147" s="12" t="s">
        <v>111</v>
      </c>
      <c r="B147" s="13">
        <v>6.9</v>
      </c>
      <c r="C147" s="14"/>
      <c r="D147" s="14"/>
    </row>
    <row r="148" spans="1:4" x14ac:dyDescent="0.3">
      <c r="A148" s="12" t="s">
        <v>139</v>
      </c>
      <c r="B148" s="13">
        <v>6.9</v>
      </c>
      <c r="C148" s="14"/>
      <c r="D148" s="14"/>
    </row>
    <row r="149" spans="1:4" x14ac:dyDescent="0.3">
      <c r="A149" s="12" t="s">
        <v>97</v>
      </c>
      <c r="B149" s="13">
        <v>6.9</v>
      </c>
      <c r="C149" s="14"/>
      <c r="D149" s="14"/>
    </row>
    <row r="150" spans="1:4" x14ac:dyDescent="0.3">
      <c r="A150" s="12" t="s">
        <v>142</v>
      </c>
      <c r="B150" s="13">
        <v>6.9</v>
      </c>
      <c r="C150" s="14"/>
      <c r="D150" s="14"/>
    </row>
    <row r="151" spans="1:4" x14ac:dyDescent="0.3">
      <c r="A151" s="12" t="s">
        <v>144</v>
      </c>
      <c r="B151" s="13">
        <v>6.9</v>
      </c>
      <c r="C151" s="14"/>
      <c r="D151" s="14"/>
    </row>
    <row r="152" spans="1:4" x14ac:dyDescent="0.3">
      <c r="A152" s="12" t="s">
        <v>146</v>
      </c>
      <c r="B152" s="13">
        <v>6.9</v>
      </c>
      <c r="C152" s="14"/>
      <c r="D152" s="14"/>
    </row>
    <row r="153" spans="1:4" x14ac:dyDescent="0.3">
      <c r="A153" s="12" t="s">
        <v>148</v>
      </c>
      <c r="B153" s="13">
        <v>6.9</v>
      </c>
      <c r="C153" s="14"/>
      <c r="D153" s="14"/>
    </row>
    <row r="154" spans="1:4" x14ac:dyDescent="0.3">
      <c r="A154" s="12" t="s">
        <v>150</v>
      </c>
      <c r="B154" s="13">
        <v>6.9</v>
      </c>
      <c r="C154" s="14"/>
      <c r="D154" s="14"/>
    </row>
    <row r="155" spans="1:4" x14ac:dyDescent="0.3">
      <c r="A155" s="12" t="s">
        <v>108</v>
      </c>
      <c r="B155" s="13">
        <v>6.9</v>
      </c>
      <c r="C155" s="14"/>
      <c r="D155" s="14"/>
    </row>
    <row r="156" spans="1:4" x14ac:dyDescent="0.3">
      <c r="A156" s="17" t="s">
        <v>156</v>
      </c>
    </row>
    <row r="157" spans="1:4" x14ac:dyDescent="0.3">
      <c r="A157" s="12" t="s">
        <v>100</v>
      </c>
      <c r="B157" s="13">
        <v>13.4</v>
      </c>
      <c r="C157" s="14"/>
      <c r="D157" s="14"/>
    </row>
    <row r="158" spans="1:4" x14ac:dyDescent="0.3">
      <c r="A158" s="12" t="s">
        <v>105</v>
      </c>
      <c r="B158" s="13">
        <v>13.4</v>
      </c>
      <c r="C158" s="14"/>
      <c r="D158" s="14"/>
    </row>
    <row r="159" spans="1:4" x14ac:dyDescent="0.3">
      <c r="A159" s="12" t="s">
        <v>107</v>
      </c>
      <c r="B159" s="13">
        <v>13.4</v>
      </c>
      <c r="C159" s="14"/>
      <c r="D159" s="14"/>
    </row>
    <row r="160" spans="1:4" x14ac:dyDescent="0.3">
      <c r="A160" s="12" t="s">
        <v>109</v>
      </c>
      <c r="B160" s="13">
        <v>13.4</v>
      </c>
      <c r="C160" s="14"/>
      <c r="D160" s="14"/>
    </row>
    <row r="161" spans="1:4" x14ac:dyDescent="0.3">
      <c r="A161" s="12" t="s">
        <v>111</v>
      </c>
      <c r="B161" s="13">
        <v>13.4</v>
      </c>
      <c r="C161" s="14"/>
      <c r="D161" s="14"/>
    </row>
    <row r="162" spans="1:4" x14ac:dyDescent="0.3">
      <c r="A162" s="12" t="s">
        <v>112</v>
      </c>
      <c r="B162" s="13">
        <v>13.4</v>
      </c>
      <c r="C162" s="14"/>
      <c r="D162" s="14"/>
    </row>
    <row r="163" spans="1:4" x14ac:dyDescent="0.3">
      <c r="A163" s="12" t="s">
        <v>99</v>
      </c>
      <c r="B163" s="13">
        <v>13.4</v>
      </c>
      <c r="C163" s="14"/>
      <c r="D163" s="14"/>
    </row>
    <row r="164" spans="1:4" x14ac:dyDescent="0.3">
      <c r="A164" s="17" t="s">
        <v>378</v>
      </c>
      <c r="B164" s="6"/>
    </row>
    <row r="165" spans="1:4" x14ac:dyDescent="0.3">
      <c r="A165" s="12" t="s">
        <v>97</v>
      </c>
      <c r="B165" s="13">
        <v>6.9</v>
      </c>
      <c r="C165" s="14"/>
      <c r="D165" s="14"/>
    </row>
    <row r="166" spans="1:4" x14ac:dyDescent="0.3">
      <c r="A166" s="12" t="s">
        <v>98</v>
      </c>
      <c r="B166" s="13">
        <v>6.9</v>
      </c>
      <c r="C166" s="14"/>
      <c r="D166" s="14"/>
    </row>
    <row r="167" spans="1:4" x14ac:dyDescent="0.3">
      <c r="A167" s="17" t="s">
        <v>155</v>
      </c>
      <c r="B167" s="3"/>
    </row>
    <row r="168" spans="1:4" x14ac:dyDescent="0.3">
      <c r="A168" s="12" t="s">
        <v>98</v>
      </c>
      <c r="B168" s="13">
        <v>9.6999999999999993</v>
      </c>
      <c r="C168" s="14"/>
      <c r="D168" s="14"/>
    </row>
    <row r="169" spans="1:4" x14ac:dyDescent="0.3">
      <c r="A169" s="17" t="s">
        <v>379</v>
      </c>
      <c r="B169" s="7"/>
    </row>
    <row r="170" spans="1:4" x14ac:dyDescent="0.3">
      <c r="A170" s="12" t="s">
        <v>158</v>
      </c>
      <c r="B170" s="13">
        <v>21.6</v>
      </c>
      <c r="C170" s="14"/>
      <c r="D170" s="14"/>
    </row>
    <row r="171" spans="1:4" x14ac:dyDescent="0.3">
      <c r="A171" s="12" t="s">
        <v>159</v>
      </c>
      <c r="B171" s="13">
        <v>40.9</v>
      </c>
      <c r="C171" s="14"/>
      <c r="D171" s="14"/>
    </row>
    <row r="172" spans="1:4" x14ac:dyDescent="0.3">
      <c r="A172" s="12" t="s">
        <v>160</v>
      </c>
      <c r="B172" s="13">
        <v>13.4</v>
      </c>
      <c r="C172" s="14"/>
      <c r="D172" s="14"/>
    </row>
    <row r="173" spans="1:4" x14ac:dyDescent="0.3">
      <c r="A173" s="12" t="s">
        <v>161</v>
      </c>
      <c r="B173" s="13">
        <v>12</v>
      </c>
      <c r="C173" s="14"/>
      <c r="D173" s="14"/>
    </row>
    <row r="174" spans="1:4" x14ac:dyDescent="0.3">
      <c r="A174" s="12" t="s">
        <v>162</v>
      </c>
      <c r="B174" s="13">
        <v>23.5</v>
      </c>
      <c r="C174" s="14"/>
      <c r="D174" s="14"/>
    </row>
    <row r="175" spans="1:4" x14ac:dyDescent="0.3">
      <c r="A175" s="12" t="s">
        <v>163</v>
      </c>
      <c r="B175" s="13">
        <v>53.9</v>
      </c>
      <c r="C175" s="14"/>
      <c r="D175" s="14"/>
    </row>
    <row r="176" spans="1:4" x14ac:dyDescent="0.3">
      <c r="A176" s="12" t="s">
        <v>164</v>
      </c>
      <c r="B176" s="13">
        <v>12</v>
      </c>
      <c r="C176" s="14"/>
      <c r="D176" s="14"/>
    </row>
    <row r="177" spans="1:4" x14ac:dyDescent="0.3">
      <c r="A177" s="12" t="s">
        <v>165</v>
      </c>
      <c r="B177" s="13">
        <v>23.5</v>
      </c>
      <c r="C177" s="14"/>
      <c r="D177" s="14"/>
    </row>
    <row r="178" spans="1:4" x14ac:dyDescent="0.3">
      <c r="A178" s="12" t="s">
        <v>166</v>
      </c>
      <c r="B178" s="13">
        <v>53.9</v>
      </c>
      <c r="C178" s="14"/>
      <c r="D178" s="14"/>
    </row>
    <row r="179" spans="1:4" x14ac:dyDescent="0.3">
      <c r="A179" s="12" t="s">
        <v>167</v>
      </c>
      <c r="B179" s="13">
        <v>12</v>
      </c>
      <c r="C179" s="14"/>
      <c r="D179" s="14"/>
    </row>
    <row r="180" spans="1:4" x14ac:dyDescent="0.3">
      <c r="A180" s="12" t="s">
        <v>168</v>
      </c>
      <c r="B180" s="13">
        <v>23.5</v>
      </c>
      <c r="C180" s="14"/>
      <c r="D180" s="14"/>
    </row>
    <row r="181" spans="1:4" x14ac:dyDescent="0.3">
      <c r="A181" s="12" t="s">
        <v>169</v>
      </c>
      <c r="B181" s="13">
        <v>53.9</v>
      </c>
      <c r="C181" s="14"/>
      <c r="D181" s="14"/>
    </row>
    <row r="182" spans="1:4" x14ac:dyDescent="0.3">
      <c r="A182" s="12" t="s">
        <v>170</v>
      </c>
      <c r="B182" s="13">
        <v>12</v>
      </c>
      <c r="C182" s="14"/>
      <c r="D182" s="14"/>
    </row>
    <row r="183" spans="1:4" x14ac:dyDescent="0.3">
      <c r="A183" s="12" t="s">
        <v>171</v>
      </c>
      <c r="B183" s="13">
        <v>23.5</v>
      </c>
      <c r="C183" s="14"/>
      <c r="D183" s="14"/>
    </row>
    <row r="184" spans="1:4" x14ac:dyDescent="0.3">
      <c r="A184" s="12" t="s">
        <v>172</v>
      </c>
      <c r="B184" s="13">
        <v>16.2</v>
      </c>
      <c r="C184" s="14"/>
      <c r="D184" s="14"/>
    </row>
    <row r="185" spans="1:4" x14ac:dyDescent="0.3">
      <c r="A185" s="12" t="s">
        <v>173</v>
      </c>
      <c r="B185" s="13">
        <v>30.5</v>
      </c>
      <c r="C185" s="14"/>
      <c r="D185" s="14"/>
    </row>
    <row r="186" spans="1:4" x14ac:dyDescent="0.3">
      <c r="A186" s="12" t="s">
        <v>174</v>
      </c>
      <c r="B186" s="13">
        <v>15</v>
      </c>
      <c r="C186" s="14"/>
      <c r="D186" s="14"/>
    </row>
    <row r="187" spans="1:4" x14ac:dyDescent="0.3">
      <c r="A187" s="12" t="s">
        <v>175</v>
      </c>
      <c r="B187" s="13">
        <v>28.5</v>
      </c>
      <c r="C187" s="14"/>
      <c r="D187" s="14"/>
    </row>
    <row r="188" spans="1:4" x14ac:dyDescent="0.3">
      <c r="A188" s="12" t="s">
        <v>176</v>
      </c>
      <c r="B188" s="13">
        <v>15</v>
      </c>
      <c r="C188" s="14"/>
      <c r="D188" s="14"/>
    </row>
    <row r="189" spans="1:4" x14ac:dyDescent="0.3">
      <c r="A189" s="12" t="s">
        <v>177</v>
      </c>
      <c r="B189" s="13">
        <v>28.5</v>
      </c>
      <c r="C189" s="14"/>
      <c r="D189" s="14"/>
    </row>
    <row r="190" spans="1:4" x14ac:dyDescent="0.3">
      <c r="A190" s="12" t="s">
        <v>178</v>
      </c>
      <c r="B190" s="13">
        <v>15</v>
      </c>
      <c r="C190" s="14"/>
      <c r="D190" s="14"/>
    </row>
    <row r="191" spans="1:4" x14ac:dyDescent="0.3">
      <c r="A191" s="12" t="s">
        <v>179</v>
      </c>
      <c r="B191" s="13">
        <v>28.5</v>
      </c>
      <c r="C191" s="14"/>
      <c r="D191" s="14"/>
    </row>
    <row r="192" spans="1:4" x14ac:dyDescent="0.3">
      <c r="A192" s="12" t="s">
        <v>180</v>
      </c>
      <c r="B192" s="13">
        <v>15</v>
      </c>
      <c r="C192" s="14"/>
      <c r="D192" s="14"/>
    </row>
    <row r="193" spans="1:4" x14ac:dyDescent="0.3">
      <c r="A193" s="12" t="s">
        <v>181</v>
      </c>
      <c r="B193" s="13">
        <v>28.5</v>
      </c>
      <c r="C193" s="14"/>
      <c r="D193" s="14"/>
    </row>
    <row r="194" spans="1:4" x14ac:dyDescent="0.3">
      <c r="A194" s="12" t="s">
        <v>182</v>
      </c>
      <c r="B194" s="13">
        <v>16.2</v>
      </c>
      <c r="C194" s="14"/>
      <c r="D194" s="14"/>
    </row>
    <row r="195" spans="1:4" x14ac:dyDescent="0.3">
      <c r="A195" s="12" t="s">
        <v>183</v>
      </c>
      <c r="B195" s="13">
        <v>16.2</v>
      </c>
      <c r="C195" s="14"/>
      <c r="D195" s="14"/>
    </row>
    <row r="196" spans="1:4" x14ac:dyDescent="0.3">
      <c r="A196" s="12" t="s">
        <v>184</v>
      </c>
      <c r="B196" s="13">
        <v>16.2</v>
      </c>
      <c r="C196" s="14"/>
      <c r="D196" s="14"/>
    </row>
    <row r="197" spans="1:4" x14ac:dyDescent="0.3">
      <c r="A197" s="12" t="s">
        <v>185</v>
      </c>
      <c r="B197" s="13">
        <v>18.2</v>
      </c>
      <c r="C197" s="14"/>
      <c r="D197" s="14"/>
    </row>
    <row r="198" spans="1:4" x14ac:dyDescent="0.3">
      <c r="A198" s="12" t="s">
        <v>186</v>
      </c>
      <c r="B198" s="13">
        <v>13.5</v>
      </c>
      <c r="C198" s="14"/>
      <c r="D198" s="14"/>
    </row>
    <row r="199" spans="1:4" x14ac:dyDescent="0.3">
      <c r="A199" s="12" t="s">
        <v>187</v>
      </c>
      <c r="B199" s="13">
        <v>13.5</v>
      </c>
      <c r="C199" s="14"/>
      <c r="D199" s="14"/>
    </row>
    <row r="200" spans="1:4" x14ac:dyDescent="0.3">
      <c r="A200" s="12" t="s">
        <v>188</v>
      </c>
      <c r="B200" s="13">
        <v>16.2</v>
      </c>
      <c r="C200" s="14"/>
      <c r="D200" s="14"/>
    </row>
    <row r="201" spans="1:4" x14ac:dyDescent="0.3">
      <c r="A201" s="12" t="s">
        <v>189</v>
      </c>
      <c r="B201" s="13">
        <v>16.2</v>
      </c>
      <c r="C201" s="14"/>
      <c r="D201" s="14"/>
    </row>
    <row r="202" spans="1:4" x14ac:dyDescent="0.3">
      <c r="A202" s="12" t="s">
        <v>190</v>
      </c>
      <c r="B202" s="13">
        <v>13.5</v>
      </c>
      <c r="C202" s="14"/>
      <c r="D202" s="14"/>
    </row>
    <row r="203" spans="1:4" x14ac:dyDescent="0.3">
      <c r="A203" s="12" t="s">
        <v>191</v>
      </c>
      <c r="B203" s="13">
        <v>16.2</v>
      </c>
      <c r="C203" s="14"/>
      <c r="D203" s="14"/>
    </row>
    <row r="204" spans="1:4" x14ac:dyDescent="0.3">
      <c r="A204" s="12" t="s">
        <v>192</v>
      </c>
      <c r="B204" s="13">
        <v>16.2</v>
      </c>
      <c r="C204" s="14"/>
      <c r="D204" s="14"/>
    </row>
    <row r="205" spans="1:4" x14ac:dyDescent="0.3">
      <c r="A205" s="12" t="s">
        <v>193</v>
      </c>
      <c r="B205" s="13">
        <v>16.2</v>
      </c>
      <c r="C205" s="14"/>
      <c r="D205" s="14"/>
    </row>
    <row r="206" spans="1:4" x14ac:dyDescent="0.3">
      <c r="A206" s="12" t="s">
        <v>194</v>
      </c>
      <c r="B206" s="13">
        <v>16.2</v>
      </c>
      <c r="C206" s="14"/>
      <c r="D206" s="14"/>
    </row>
    <row r="207" spans="1:4" x14ac:dyDescent="0.3">
      <c r="A207" s="12" t="s">
        <v>195</v>
      </c>
      <c r="B207" s="13">
        <v>16.2</v>
      </c>
      <c r="C207" s="14"/>
      <c r="D207" s="14"/>
    </row>
    <row r="208" spans="1:4" x14ac:dyDescent="0.3">
      <c r="A208" s="12" t="s">
        <v>196</v>
      </c>
      <c r="B208" s="13">
        <v>16.2</v>
      </c>
      <c r="C208" s="14"/>
      <c r="D208" s="14"/>
    </row>
    <row r="209" spans="1:4" x14ac:dyDescent="0.3">
      <c r="A209" s="12" t="s">
        <v>197</v>
      </c>
      <c r="B209" s="13">
        <v>16.2</v>
      </c>
      <c r="C209" s="14"/>
      <c r="D209" s="14"/>
    </row>
    <row r="210" spans="1:4" x14ac:dyDescent="0.3">
      <c r="A210" s="12" t="s">
        <v>180</v>
      </c>
      <c r="B210" s="13">
        <v>15</v>
      </c>
      <c r="C210" s="14"/>
      <c r="D210" s="14"/>
    </row>
    <row r="211" spans="1:4" x14ac:dyDescent="0.3">
      <c r="A211" s="12" t="s">
        <v>181</v>
      </c>
      <c r="B211" s="13">
        <v>28.5</v>
      </c>
      <c r="C211" s="14"/>
      <c r="D211" s="14"/>
    </row>
    <row r="212" spans="1:4" x14ac:dyDescent="0.3">
      <c r="A212" s="12" t="s">
        <v>182</v>
      </c>
      <c r="B212" s="13">
        <v>16.2</v>
      </c>
      <c r="C212" s="14"/>
      <c r="D212" s="14"/>
    </row>
    <row r="213" spans="1:4" x14ac:dyDescent="0.3">
      <c r="A213" s="12" t="s">
        <v>183</v>
      </c>
      <c r="B213" s="13">
        <v>16.2</v>
      </c>
      <c r="C213" s="14"/>
      <c r="D213" s="14"/>
    </row>
    <row r="214" spans="1:4" x14ac:dyDescent="0.3">
      <c r="A214" s="12" t="s">
        <v>184</v>
      </c>
      <c r="B214" s="13">
        <v>16.2</v>
      </c>
      <c r="C214" s="14"/>
      <c r="D214" s="14"/>
    </row>
    <row r="215" spans="1:4" x14ac:dyDescent="0.3">
      <c r="A215" s="12" t="s">
        <v>185</v>
      </c>
      <c r="B215" s="13">
        <v>18.2</v>
      </c>
      <c r="C215" s="14"/>
      <c r="D215" s="14"/>
    </row>
    <row r="216" spans="1:4" x14ac:dyDescent="0.3">
      <c r="A216" s="12" t="s">
        <v>186</v>
      </c>
      <c r="B216" s="13">
        <v>13.5</v>
      </c>
      <c r="C216" s="14"/>
      <c r="D216" s="14"/>
    </row>
    <row r="217" spans="1:4" x14ac:dyDescent="0.3">
      <c r="A217" s="12" t="s">
        <v>187</v>
      </c>
      <c r="B217" s="13">
        <v>13.5</v>
      </c>
      <c r="C217" s="14"/>
      <c r="D217" s="14"/>
    </row>
    <row r="218" spans="1:4" x14ac:dyDescent="0.3">
      <c r="A218" s="12" t="s">
        <v>188</v>
      </c>
      <c r="B218" s="13">
        <v>16.2</v>
      </c>
      <c r="C218" s="14"/>
      <c r="D218" s="14"/>
    </row>
    <row r="219" spans="1:4" x14ac:dyDescent="0.3">
      <c r="A219" s="12" t="s">
        <v>189</v>
      </c>
      <c r="B219" s="13">
        <v>16.2</v>
      </c>
      <c r="C219" s="14"/>
      <c r="D219" s="14"/>
    </row>
    <row r="220" spans="1:4" x14ac:dyDescent="0.3">
      <c r="A220" s="12" t="s">
        <v>190</v>
      </c>
      <c r="B220" s="13">
        <v>13.5</v>
      </c>
      <c r="C220" s="14"/>
      <c r="D220" s="14"/>
    </row>
    <row r="221" spans="1:4" x14ac:dyDescent="0.3">
      <c r="A221" s="12" t="s">
        <v>191</v>
      </c>
      <c r="B221" s="13">
        <v>16.2</v>
      </c>
      <c r="C221" s="14"/>
      <c r="D221" s="14"/>
    </row>
    <row r="222" spans="1:4" x14ac:dyDescent="0.3">
      <c r="A222" s="12" t="s">
        <v>192</v>
      </c>
      <c r="B222" s="13">
        <v>16.2</v>
      </c>
      <c r="C222" s="14"/>
      <c r="D222" s="14"/>
    </row>
    <row r="223" spans="1:4" x14ac:dyDescent="0.3">
      <c r="A223" s="12" t="s">
        <v>193</v>
      </c>
      <c r="B223" s="13">
        <v>16.2</v>
      </c>
      <c r="C223" s="14"/>
      <c r="D223" s="14"/>
    </row>
    <row r="224" spans="1:4" x14ac:dyDescent="0.3">
      <c r="A224" s="12" t="s">
        <v>194</v>
      </c>
      <c r="B224" s="13">
        <v>16.2</v>
      </c>
      <c r="C224" s="14"/>
      <c r="D224" s="14"/>
    </row>
    <row r="225" spans="1:4" x14ac:dyDescent="0.3">
      <c r="A225" s="12" t="s">
        <v>195</v>
      </c>
      <c r="B225" s="13">
        <v>16.2</v>
      </c>
      <c r="C225" s="14"/>
      <c r="D225" s="14"/>
    </row>
    <row r="226" spans="1:4" x14ac:dyDescent="0.3">
      <c r="A226" s="12" t="s">
        <v>196</v>
      </c>
      <c r="B226" s="13">
        <v>16.2</v>
      </c>
      <c r="C226" s="14"/>
      <c r="D226" s="14"/>
    </row>
    <row r="227" spans="1:4" x14ac:dyDescent="0.3">
      <c r="A227" s="12" t="s">
        <v>197</v>
      </c>
      <c r="B227" s="13">
        <v>16.2</v>
      </c>
      <c r="C227" s="14"/>
      <c r="D227" s="14"/>
    </row>
    <row r="228" spans="1:4" x14ac:dyDescent="0.3">
      <c r="A228" s="17" t="s">
        <v>219</v>
      </c>
    </row>
    <row r="229" spans="1:4" x14ac:dyDescent="0.3">
      <c r="A229" s="12" t="s">
        <v>198</v>
      </c>
      <c r="B229" s="13">
        <v>15.4</v>
      </c>
      <c r="C229" s="14"/>
      <c r="D229" s="14"/>
    </row>
    <row r="230" spans="1:4" x14ac:dyDescent="0.3">
      <c r="A230" s="12" t="s">
        <v>199</v>
      </c>
      <c r="B230" s="13">
        <v>28.9</v>
      </c>
      <c r="C230" s="14"/>
      <c r="D230" s="14"/>
    </row>
    <row r="231" spans="1:4" x14ac:dyDescent="0.3">
      <c r="A231" s="12" t="s">
        <v>200</v>
      </c>
      <c r="B231" s="13">
        <v>23.2</v>
      </c>
      <c r="C231" s="14"/>
      <c r="D231" s="14"/>
    </row>
    <row r="232" spans="1:4" x14ac:dyDescent="0.3">
      <c r="A232" s="12" t="s">
        <v>201</v>
      </c>
      <c r="B232" s="13">
        <v>11.7</v>
      </c>
      <c r="C232" s="14"/>
      <c r="D232" s="14"/>
    </row>
    <row r="233" spans="1:4" x14ac:dyDescent="0.3">
      <c r="A233" s="12" t="s">
        <v>202</v>
      </c>
      <c r="B233" s="13">
        <v>11.7</v>
      </c>
      <c r="C233" s="14"/>
      <c r="D233" s="14"/>
    </row>
    <row r="234" spans="1:4" x14ac:dyDescent="0.3">
      <c r="A234" s="12" t="s">
        <v>203</v>
      </c>
      <c r="B234" s="13">
        <v>23.6</v>
      </c>
      <c r="C234" s="14"/>
      <c r="D234" s="14"/>
    </row>
    <row r="235" spans="1:4" x14ac:dyDescent="0.3">
      <c r="A235" s="12" t="s">
        <v>204</v>
      </c>
      <c r="B235" s="13">
        <v>7.5</v>
      </c>
      <c r="C235" s="14"/>
      <c r="D235" s="14"/>
    </row>
    <row r="236" spans="1:4" x14ac:dyDescent="0.3">
      <c r="A236" s="12" t="s">
        <v>205</v>
      </c>
      <c r="B236" s="13">
        <v>15.5</v>
      </c>
      <c r="C236" s="14"/>
      <c r="D236" s="14"/>
    </row>
    <row r="237" spans="1:4" x14ac:dyDescent="0.3">
      <c r="A237" s="12" t="s">
        <v>206</v>
      </c>
      <c r="B237" s="13">
        <v>7.5</v>
      </c>
      <c r="C237" s="14"/>
      <c r="D237" s="14"/>
    </row>
    <row r="238" spans="1:4" x14ac:dyDescent="0.3">
      <c r="A238" s="12" t="s">
        <v>207</v>
      </c>
      <c r="B238" s="13">
        <v>15.5</v>
      </c>
      <c r="C238" s="14"/>
      <c r="D238" s="14"/>
    </row>
    <row r="239" spans="1:4" x14ac:dyDescent="0.3">
      <c r="A239" s="12" t="s">
        <v>208</v>
      </c>
      <c r="B239" s="13">
        <v>7.5</v>
      </c>
      <c r="C239" s="14"/>
      <c r="D239" s="14"/>
    </row>
    <row r="240" spans="1:4" x14ac:dyDescent="0.3">
      <c r="A240" s="12" t="s">
        <v>209</v>
      </c>
      <c r="B240" s="13">
        <v>15.5</v>
      </c>
      <c r="C240" s="14"/>
      <c r="D240" s="14"/>
    </row>
    <row r="241" spans="1:4" x14ac:dyDescent="0.3">
      <c r="A241" s="12" t="s">
        <v>210</v>
      </c>
      <c r="B241" s="13">
        <v>7.5</v>
      </c>
      <c r="C241" s="14"/>
      <c r="D241" s="14"/>
    </row>
    <row r="242" spans="1:4" x14ac:dyDescent="0.3">
      <c r="A242" s="12" t="s">
        <v>211</v>
      </c>
      <c r="B242" s="13">
        <v>15.5</v>
      </c>
      <c r="C242" s="14"/>
      <c r="D242" s="14"/>
    </row>
    <row r="243" spans="1:4" x14ac:dyDescent="0.3">
      <c r="A243" s="12" t="s">
        <v>212</v>
      </c>
      <c r="B243" s="13">
        <v>9.9</v>
      </c>
      <c r="C243" s="14"/>
      <c r="D243" s="14"/>
    </row>
    <row r="244" spans="1:4" x14ac:dyDescent="0.3">
      <c r="A244" s="12" t="s">
        <v>213</v>
      </c>
      <c r="B244" s="13">
        <v>19.5</v>
      </c>
      <c r="C244" s="14"/>
      <c r="D244" s="14"/>
    </row>
    <row r="245" spans="1:4" x14ac:dyDescent="0.3">
      <c r="A245" s="12" t="s">
        <v>214</v>
      </c>
      <c r="B245" s="13">
        <v>29.5</v>
      </c>
      <c r="C245" s="14"/>
      <c r="D245" s="14"/>
    </row>
    <row r="246" spans="1:4" x14ac:dyDescent="0.3">
      <c r="A246" s="12" t="s">
        <v>215</v>
      </c>
      <c r="B246" s="13">
        <v>29.5</v>
      </c>
      <c r="C246" s="14"/>
      <c r="D246" s="14"/>
    </row>
    <row r="247" spans="1:4" x14ac:dyDescent="0.3">
      <c r="A247" s="12" t="s">
        <v>216</v>
      </c>
      <c r="B247" s="13">
        <v>49.4</v>
      </c>
      <c r="C247" s="14"/>
      <c r="D247" s="14"/>
    </row>
    <row r="248" spans="1:4" x14ac:dyDescent="0.3">
      <c r="A248" s="12" t="s">
        <v>217</v>
      </c>
      <c r="B248" s="13">
        <v>19.399999999999999</v>
      </c>
      <c r="C248" s="14"/>
      <c r="D248" s="14"/>
    </row>
    <row r="249" spans="1:4" x14ac:dyDescent="0.3">
      <c r="A249" s="12" t="s">
        <v>218</v>
      </c>
      <c r="B249" s="13">
        <v>19.399999999999999</v>
      </c>
      <c r="C249" s="14"/>
      <c r="D249" s="14"/>
    </row>
    <row r="250" spans="1:4" x14ac:dyDescent="0.3">
      <c r="A250" s="12" t="s">
        <v>220</v>
      </c>
      <c r="B250" s="13">
        <v>19.399999999999999</v>
      </c>
      <c r="C250" s="14"/>
      <c r="D250" s="14"/>
    </row>
    <row r="251" spans="1:4" x14ac:dyDescent="0.3">
      <c r="A251" s="12" t="s">
        <v>221</v>
      </c>
      <c r="B251" s="13">
        <v>23.9</v>
      </c>
      <c r="C251" s="14"/>
      <c r="D251" s="14"/>
    </row>
    <row r="252" spans="1:4" x14ac:dyDescent="0.3">
      <c r="A252" s="12" t="s">
        <v>222</v>
      </c>
      <c r="B252" s="13">
        <v>23.9</v>
      </c>
      <c r="C252" s="14"/>
      <c r="D252" s="14"/>
    </row>
    <row r="253" spans="1:4" x14ac:dyDescent="0.3">
      <c r="A253" s="12" t="s">
        <v>223</v>
      </c>
      <c r="B253" s="13">
        <v>23.9</v>
      </c>
      <c r="C253" s="14"/>
      <c r="D253" s="14"/>
    </row>
    <row r="254" spans="1:4" x14ac:dyDescent="0.3">
      <c r="A254" s="12" t="s">
        <v>224</v>
      </c>
      <c r="B254" s="13">
        <v>19.399999999999999</v>
      </c>
      <c r="C254" s="14"/>
      <c r="D254" s="14"/>
    </row>
    <row r="255" spans="1:4" x14ac:dyDescent="0.3">
      <c r="A255" s="12" t="s">
        <v>225</v>
      </c>
      <c r="B255" s="13">
        <v>19.399999999999999</v>
      </c>
      <c r="C255" s="14"/>
      <c r="D255" s="14"/>
    </row>
    <row r="256" spans="1:4" x14ac:dyDescent="0.3">
      <c r="A256" s="12" t="s">
        <v>226</v>
      </c>
      <c r="B256" s="13">
        <v>33.9</v>
      </c>
      <c r="C256" s="14"/>
      <c r="D256" s="14"/>
    </row>
    <row r="257" spans="1:4" x14ac:dyDescent="0.3">
      <c r="A257" s="12" t="s">
        <v>227</v>
      </c>
      <c r="B257" s="13">
        <v>33.9</v>
      </c>
      <c r="C257" s="14"/>
      <c r="D257" s="14"/>
    </row>
    <row r="258" spans="1:4" x14ac:dyDescent="0.3">
      <c r="A258" s="12" t="s">
        <v>228</v>
      </c>
      <c r="B258" s="13">
        <v>18.5</v>
      </c>
      <c r="C258" s="14"/>
      <c r="D258" s="14"/>
    </row>
    <row r="259" spans="1:4" x14ac:dyDescent="0.3">
      <c r="A259" s="12" t="s">
        <v>229</v>
      </c>
      <c r="B259" s="13">
        <v>19.2</v>
      </c>
      <c r="C259" s="14"/>
      <c r="D259" s="14"/>
    </row>
    <row r="260" spans="1:4" x14ac:dyDescent="0.3">
      <c r="A260" s="12" t="s">
        <v>230</v>
      </c>
      <c r="B260" s="13">
        <v>42.9</v>
      </c>
      <c r="C260" s="14"/>
      <c r="D260" s="14"/>
    </row>
    <row r="261" spans="1:4" x14ac:dyDescent="0.3">
      <c r="A261" s="12" t="s">
        <v>231</v>
      </c>
      <c r="B261" s="13">
        <v>47.8</v>
      </c>
      <c r="C261" s="14"/>
      <c r="D261" s="14"/>
    </row>
    <row r="262" spans="1:4" x14ac:dyDescent="0.3">
      <c r="A262" s="12" t="s">
        <v>232</v>
      </c>
      <c r="B262" s="13">
        <v>13.9</v>
      </c>
      <c r="C262" s="14"/>
      <c r="D262" s="14"/>
    </row>
    <row r="263" spans="1:4" x14ac:dyDescent="0.3">
      <c r="A263" s="12" t="s">
        <v>233</v>
      </c>
      <c r="B263" s="13">
        <v>13.9</v>
      </c>
      <c r="C263" s="14"/>
      <c r="D263" s="14"/>
    </row>
    <row r="264" spans="1:4" x14ac:dyDescent="0.3">
      <c r="A264" s="12" t="s">
        <v>234</v>
      </c>
      <c r="B264" s="13">
        <v>21.5</v>
      </c>
      <c r="C264" s="14"/>
      <c r="D264" s="14"/>
    </row>
    <row r="265" spans="1:4" x14ac:dyDescent="0.3">
      <c r="A265" s="12" t="s">
        <v>235</v>
      </c>
      <c r="B265" s="13">
        <v>21.5</v>
      </c>
      <c r="C265" s="14"/>
      <c r="D265" s="14"/>
    </row>
    <row r="266" spans="1:4" x14ac:dyDescent="0.3">
      <c r="A266" s="12" t="s">
        <v>236</v>
      </c>
      <c r="B266" s="13">
        <v>19.899999999999999</v>
      </c>
      <c r="C266" s="14"/>
      <c r="D266" s="14"/>
    </row>
    <row r="267" spans="1:4" x14ac:dyDescent="0.3">
      <c r="A267" s="12" t="s">
        <v>237</v>
      </c>
      <c r="B267" s="13">
        <v>19.899999999999999</v>
      </c>
      <c r="C267" s="14"/>
      <c r="D267" s="14"/>
    </row>
    <row r="268" spans="1:4" x14ac:dyDescent="0.3">
      <c r="A268" s="12" t="s">
        <v>238</v>
      </c>
      <c r="B268" s="13">
        <v>8.6999999999999993</v>
      </c>
      <c r="C268" s="14"/>
      <c r="D268" s="14"/>
    </row>
    <row r="269" spans="1:4" x14ac:dyDescent="0.3">
      <c r="A269" s="12" t="s">
        <v>239</v>
      </c>
      <c r="B269" s="13">
        <v>19.399999999999999</v>
      </c>
      <c r="C269" s="14"/>
      <c r="D269" s="14"/>
    </row>
    <row r="270" spans="1:4" x14ac:dyDescent="0.3">
      <c r="A270" s="12" t="s">
        <v>240</v>
      </c>
      <c r="B270" s="13">
        <v>24.3</v>
      </c>
      <c r="C270" s="14"/>
      <c r="D270" s="14"/>
    </row>
    <row r="271" spans="1:4" x14ac:dyDescent="0.3">
      <c r="A271" s="12" t="s">
        <v>241</v>
      </c>
      <c r="B271" s="13">
        <v>29.9</v>
      </c>
      <c r="C271" s="14"/>
      <c r="D271" s="14"/>
    </row>
    <row r="272" spans="1:4" x14ac:dyDescent="0.3">
      <c r="A272" s="12" t="s">
        <v>242</v>
      </c>
      <c r="B272" s="13">
        <v>39.9</v>
      </c>
      <c r="C272" s="14"/>
      <c r="D272" s="14"/>
    </row>
    <row r="273" spans="1:4" x14ac:dyDescent="0.3">
      <c r="A273" s="12" t="s">
        <v>243</v>
      </c>
      <c r="B273" s="13">
        <v>45.3</v>
      </c>
      <c r="C273" s="14"/>
      <c r="D273" s="14"/>
    </row>
    <row r="274" spans="1:4" x14ac:dyDescent="0.3">
      <c r="A274" s="12" t="s">
        <v>244</v>
      </c>
      <c r="B274" s="13">
        <v>48.6</v>
      </c>
      <c r="C274" s="14"/>
      <c r="D274" s="14"/>
    </row>
    <row r="275" spans="1:4" x14ac:dyDescent="0.3">
      <c r="A275" s="12" t="s">
        <v>245</v>
      </c>
      <c r="B275" s="13">
        <v>54.4</v>
      </c>
      <c r="C275" s="14"/>
      <c r="D275" s="14"/>
    </row>
    <row r="276" spans="1:4" x14ac:dyDescent="0.3">
      <c r="A276" s="12" t="s">
        <v>246</v>
      </c>
      <c r="B276" s="13">
        <v>56.7</v>
      </c>
      <c r="C276" s="14"/>
      <c r="D276" s="14"/>
    </row>
    <row r="277" spans="1:4" x14ac:dyDescent="0.3">
      <c r="A277" s="12" t="s">
        <v>247</v>
      </c>
      <c r="B277" s="13">
        <v>67.3</v>
      </c>
      <c r="C277" s="14"/>
      <c r="D277" s="14"/>
    </row>
    <row r="278" spans="1:4" x14ac:dyDescent="0.3">
      <c r="A278" s="12" t="s">
        <v>248</v>
      </c>
      <c r="B278" s="13">
        <v>75.400000000000006</v>
      </c>
      <c r="C278" s="14"/>
      <c r="D278" s="14"/>
    </row>
    <row r="279" spans="1:4" x14ac:dyDescent="0.3">
      <c r="A279" s="12" t="s">
        <v>249</v>
      </c>
      <c r="B279" s="13">
        <v>79.2</v>
      </c>
      <c r="C279" s="14"/>
      <c r="D279" s="14"/>
    </row>
    <row r="280" spans="1:4" x14ac:dyDescent="0.3">
      <c r="A280" s="12" t="s">
        <v>250</v>
      </c>
      <c r="B280" s="13">
        <v>26.3</v>
      </c>
      <c r="C280" s="14"/>
      <c r="D280" s="14"/>
    </row>
    <row r="281" spans="1:4" x14ac:dyDescent="0.3">
      <c r="A281" s="12" t="s">
        <v>251</v>
      </c>
      <c r="B281" s="13">
        <v>23.3</v>
      </c>
      <c r="C281" s="14"/>
      <c r="D281" s="14"/>
    </row>
    <row r="282" spans="1:4" x14ac:dyDescent="0.3">
      <c r="A282" s="12" t="s">
        <v>252</v>
      </c>
      <c r="B282" s="13">
        <v>74.8</v>
      </c>
      <c r="C282" s="14"/>
      <c r="D282" s="14"/>
    </row>
    <row r="283" spans="1:4" x14ac:dyDescent="0.3">
      <c r="A283" s="12" t="s">
        <v>253</v>
      </c>
      <c r="B283" s="13">
        <v>19.399999999999999</v>
      </c>
      <c r="C283" s="14"/>
      <c r="D283" s="14"/>
    </row>
    <row r="284" spans="1:4" x14ac:dyDescent="0.3">
      <c r="A284" s="12" t="s">
        <v>254</v>
      </c>
      <c r="B284" s="13">
        <v>24.3</v>
      </c>
      <c r="C284" s="14"/>
      <c r="D284" s="14"/>
    </row>
    <row r="285" spans="1:4" x14ac:dyDescent="0.3">
      <c r="A285" s="12" t="s">
        <v>255</v>
      </c>
      <c r="B285" s="13">
        <v>19.399999999999999</v>
      </c>
      <c r="C285" s="14"/>
      <c r="D285" s="14"/>
    </row>
    <row r="286" spans="1:4" x14ac:dyDescent="0.3">
      <c r="A286" s="12" t="s">
        <v>256</v>
      </c>
      <c r="B286" s="13">
        <v>19.399999999999999</v>
      </c>
      <c r="C286" s="14"/>
      <c r="D286" s="14"/>
    </row>
    <row r="287" spans="1:4" x14ac:dyDescent="0.3">
      <c r="A287" s="12" t="s">
        <v>257</v>
      </c>
      <c r="B287" s="13">
        <v>19.399999999999999</v>
      </c>
      <c r="C287" s="14"/>
      <c r="D287" s="14"/>
    </row>
    <row r="288" spans="1:4" x14ac:dyDescent="0.3">
      <c r="A288" s="12" t="s">
        <v>258</v>
      </c>
      <c r="B288" s="13">
        <v>25.2</v>
      </c>
      <c r="C288" s="14"/>
      <c r="D288" s="14"/>
    </row>
    <row r="289" spans="1:4" x14ac:dyDescent="0.3">
      <c r="A289" s="12" t="s">
        <v>259</v>
      </c>
      <c r="B289" s="13">
        <v>25.2</v>
      </c>
      <c r="C289" s="14"/>
      <c r="D289" s="14"/>
    </row>
    <row r="290" spans="1:4" x14ac:dyDescent="0.3">
      <c r="A290" s="12" t="s">
        <v>260</v>
      </c>
      <c r="B290" s="13">
        <v>25.2</v>
      </c>
      <c r="C290" s="14"/>
      <c r="D290" s="14"/>
    </row>
    <row r="291" spans="1:4" x14ac:dyDescent="0.3">
      <c r="A291" s="12" t="s">
        <v>261</v>
      </c>
      <c r="B291" s="13">
        <v>25.2</v>
      </c>
      <c r="C291" s="14"/>
      <c r="D291" s="14"/>
    </row>
    <row r="292" spans="1:4" x14ac:dyDescent="0.3">
      <c r="A292" s="12" t="s">
        <v>262</v>
      </c>
      <c r="B292" s="13">
        <v>53.8</v>
      </c>
      <c r="C292" s="14"/>
      <c r="D292" s="14"/>
    </row>
    <row r="293" spans="1:4" x14ac:dyDescent="0.3">
      <c r="A293" s="12" t="s">
        <v>263</v>
      </c>
      <c r="B293" s="13">
        <v>129.4</v>
      </c>
      <c r="C293" s="14"/>
      <c r="D293" s="14"/>
    </row>
    <row r="294" spans="1:4" x14ac:dyDescent="0.3">
      <c r="A294" s="12" t="s">
        <v>264</v>
      </c>
      <c r="B294" s="13">
        <v>32.5</v>
      </c>
      <c r="C294" s="14"/>
      <c r="D294" s="14"/>
    </row>
    <row r="295" spans="1:4" x14ac:dyDescent="0.3">
      <c r="A295" s="12" t="s">
        <v>265</v>
      </c>
      <c r="B295" s="13">
        <v>40.5</v>
      </c>
      <c r="C295" s="14"/>
      <c r="D295" s="14"/>
    </row>
  </sheetData>
  <mergeCells count="3">
    <mergeCell ref="A1:D1"/>
    <mergeCell ref="P103:Q103"/>
    <mergeCell ref="Q97:Q98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D6C0-D6A2-43C7-BF88-01777842DC52}">
  <dimension ref="A1:I76"/>
  <sheetViews>
    <sheetView tabSelected="1" topLeftCell="A13" workbookViewId="0">
      <selection activeCell="M5" sqref="M5"/>
    </sheetView>
  </sheetViews>
  <sheetFormatPr defaultRowHeight="14.4" x14ac:dyDescent="0.3"/>
  <cols>
    <col min="1" max="1" width="18.5546875" customWidth="1"/>
    <col min="2" max="2" width="12.109375" style="4" customWidth="1"/>
    <col min="4" max="4" width="10.5546875" bestFit="1" customWidth="1"/>
    <col min="6" max="6" width="19.33203125" customWidth="1"/>
    <col min="7" max="7" width="11.109375" style="4" customWidth="1"/>
    <col min="9" max="9" width="10.5546875" bestFit="1" customWidth="1"/>
  </cols>
  <sheetData>
    <row r="1" spans="1:9" ht="21" x14ac:dyDescent="0.4">
      <c r="A1" s="32" t="s">
        <v>412</v>
      </c>
      <c r="B1" s="33"/>
      <c r="C1" s="32"/>
      <c r="D1" s="33"/>
      <c r="H1" s="4"/>
      <c r="I1" s="4"/>
    </row>
    <row r="2" spans="1:9" ht="43.2" x14ac:dyDescent="0.3">
      <c r="A2" s="29" t="s">
        <v>409</v>
      </c>
      <c r="B2" s="30" t="s">
        <v>413</v>
      </c>
      <c r="C2" s="29" t="s">
        <v>374</v>
      </c>
      <c r="D2" s="30" t="s">
        <v>375</v>
      </c>
      <c r="E2" s="5"/>
      <c r="F2" s="29" t="s">
        <v>401</v>
      </c>
      <c r="G2" s="30" t="s">
        <v>400</v>
      </c>
      <c r="H2" s="29" t="s">
        <v>374</v>
      </c>
      <c r="I2" s="29" t="s">
        <v>375</v>
      </c>
    </row>
    <row r="3" spans="1:9" x14ac:dyDescent="0.3">
      <c r="A3" s="12" t="s">
        <v>267</v>
      </c>
      <c r="B3" s="13">
        <v>128</v>
      </c>
      <c r="C3" s="13"/>
      <c r="D3" s="13">
        <f t="shared" ref="D3:D28" si="0">C3*B3</f>
        <v>0</v>
      </c>
      <c r="E3" s="1"/>
      <c r="F3" s="12" t="s">
        <v>267</v>
      </c>
      <c r="G3" s="13">
        <v>128</v>
      </c>
      <c r="H3" s="13"/>
      <c r="I3" s="13">
        <f t="shared" ref="I3:I27" si="1">H3*G3</f>
        <v>0</v>
      </c>
    </row>
    <row r="4" spans="1:9" x14ac:dyDescent="0.3">
      <c r="A4" s="12" t="s">
        <v>270</v>
      </c>
      <c r="B4" s="13">
        <v>128</v>
      </c>
      <c r="C4" s="13"/>
      <c r="D4" s="13">
        <f t="shared" si="0"/>
        <v>0</v>
      </c>
      <c r="E4" s="1"/>
      <c r="F4" s="12" t="s">
        <v>270</v>
      </c>
      <c r="G4" s="13">
        <v>128</v>
      </c>
      <c r="H4" s="13"/>
      <c r="I4" s="13">
        <f t="shared" si="1"/>
        <v>0</v>
      </c>
    </row>
    <row r="5" spans="1:9" x14ac:dyDescent="0.3">
      <c r="A5" s="12" t="s">
        <v>271</v>
      </c>
      <c r="B5" s="13">
        <v>128</v>
      </c>
      <c r="C5" s="13"/>
      <c r="D5" s="13">
        <f t="shared" si="0"/>
        <v>0</v>
      </c>
      <c r="E5" s="1"/>
      <c r="F5" s="12" t="s">
        <v>271</v>
      </c>
      <c r="G5" s="13">
        <v>128</v>
      </c>
      <c r="H5" s="13"/>
      <c r="I5" s="13">
        <f t="shared" si="1"/>
        <v>0</v>
      </c>
    </row>
    <row r="6" spans="1:9" x14ac:dyDescent="0.3">
      <c r="A6" s="12" t="s">
        <v>272</v>
      </c>
      <c r="B6" s="13">
        <v>128</v>
      </c>
      <c r="C6" s="13"/>
      <c r="D6" s="13">
        <f t="shared" si="0"/>
        <v>0</v>
      </c>
      <c r="E6" s="1"/>
      <c r="F6" s="12" t="s">
        <v>272</v>
      </c>
      <c r="G6" s="13">
        <v>128</v>
      </c>
      <c r="H6" s="13"/>
      <c r="I6" s="13">
        <f t="shared" si="1"/>
        <v>0</v>
      </c>
    </row>
    <row r="7" spans="1:9" x14ac:dyDescent="0.3">
      <c r="A7" s="12" t="s">
        <v>273</v>
      </c>
      <c r="B7" s="13">
        <v>128</v>
      </c>
      <c r="C7" s="13"/>
      <c r="D7" s="13">
        <f t="shared" si="0"/>
        <v>0</v>
      </c>
      <c r="E7" s="1"/>
      <c r="F7" s="12" t="s">
        <v>273</v>
      </c>
      <c r="G7" s="13">
        <v>128</v>
      </c>
      <c r="H7" s="13"/>
      <c r="I7" s="13">
        <f t="shared" si="1"/>
        <v>0</v>
      </c>
    </row>
    <row r="8" spans="1:9" x14ac:dyDescent="0.3">
      <c r="A8" s="12" t="s">
        <v>274</v>
      </c>
      <c r="B8" s="13">
        <v>128</v>
      </c>
      <c r="C8" s="13"/>
      <c r="D8" s="13">
        <f t="shared" si="0"/>
        <v>0</v>
      </c>
      <c r="E8" s="1"/>
      <c r="F8" s="12" t="s">
        <v>274</v>
      </c>
      <c r="G8" s="13">
        <v>128</v>
      </c>
      <c r="H8" s="13"/>
      <c r="I8" s="13">
        <f t="shared" si="1"/>
        <v>0</v>
      </c>
    </row>
    <row r="9" spans="1:9" x14ac:dyDescent="0.3">
      <c r="A9" s="12" t="s">
        <v>275</v>
      </c>
      <c r="B9" s="13">
        <v>128</v>
      </c>
      <c r="C9" s="13"/>
      <c r="D9" s="13">
        <f t="shared" si="0"/>
        <v>0</v>
      </c>
      <c r="E9" s="1"/>
      <c r="F9" s="12" t="s">
        <v>275</v>
      </c>
      <c r="G9" s="13">
        <v>128</v>
      </c>
      <c r="H9" s="13"/>
      <c r="I9" s="13">
        <f t="shared" si="1"/>
        <v>0</v>
      </c>
    </row>
    <row r="10" spans="1:9" x14ac:dyDescent="0.3">
      <c r="A10" s="12" t="s">
        <v>276</v>
      </c>
      <c r="B10" s="13">
        <v>128</v>
      </c>
      <c r="C10" s="13"/>
      <c r="D10" s="13">
        <f t="shared" si="0"/>
        <v>0</v>
      </c>
      <c r="E10" s="1"/>
      <c r="F10" s="12" t="s">
        <v>276</v>
      </c>
      <c r="G10" s="13">
        <v>128</v>
      </c>
      <c r="H10" s="13"/>
      <c r="I10" s="13">
        <f t="shared" si="1"/>
        <v>0</v>
      </c>
    </row>
    <row r="11" spans="1:9" x14ac:dyDescent="0.3">
      <c r="A11" s="12" t="s">
        <v>277</v>
      </c>
      <c r="B11" s="13">
        <v>128</v>
      </c>
      <c r="C11" s="13"/>
      <c r="D11" s="13">
        <f t="shared" si="0"/>
        <v>0</v>
      </c>
      <c r="E11" s="1"/>
      <c r="F11" s="12" t="s">
        <v>278</v>
      </c>
      <c r="G11" s="13">
        <v>128</v>
      </c>
      <c r="H11" s="13"/>
      <c r="I11" s="13">
        <f t="shared" si="1"/>
        <v>0</v>
      </c>
    </row>
    <row r="12" spans="1:9" x14ac:dyDescent="0.3">
      <c r="A12" s="12" t="s">
        <v>279</v>
      </c>
      <c r="B12" s="13">
        <v>128</v>
      </c>
      <c r="C12" s="13"/>
      <c r="D12" s="13">
        <f t="shared" si="0"/>
        <v>0</v>
      </c>
      <c r="E12" s="1"/>
      <c r="F12" s="12" t="s">
        <v>279</v>
      </c>
      <c r="G12" s="13">
        <v>128</v>
      </c>
      <c r="H12" s="13"/>
      <c r="I12" s="13">
        <f t="shared" si="1"/>
        <v>0</v>
      </c>
    </row>
    <row r="13" spans="1:9" x14ac:dyDescent="0.3">
      <c r="A13" s="12" t="s">
        <v>280</v>
      </c>
      <c r="B13" s="13">
        <v>128</v>
      </c>
      <c r="C13" s="13"/>
      <c r="D13" s="13">
        <f t="shared" si="0"/>
        <v>0</v>
      </c>
      <c r="E13" s="1"/>
      <c r="F13" s="12" t="s">
        <v>281</v>
      </c>
      <c r="G13" s="13">
        <v>128</v>
      </c>
      <c r="H13" s="13"/>
      <c r="I13" s="13">
        <f t="shared" si="1"/>
        <v>0</v>
      </c>
    </row>
    <row r="14" spans="1:9" x14ac:dyDescent="0.3">
      <c r="A14" s="12" t="s">
        <v>282</v>
      </c>
      <c r="B14" s="13">
        <v>128</v>
      </c>
      <c r="C14" s="13"/>
      <c r="D14" s="13">
        <f t="shared" si="0"/>
        <v>0</v>
      </c>
      <c r="E14" s="1"/>
      <c r="F14" s="12" t="s">
        <v>280</v>
      </c>
      <c r="G14" s="13">
        <v>128</v>
      </c>
      <c r="H14" s="13"/>
      <c r="I14" s="13">
        <f t="shared" si="1"/>
        <v>0</v>
      </c>
    </row>
    <row r="15" spans="1:9" x14ac:dyDescent="0.3">
      <c r="A15" s="12" t="s">
        <v>283</v>
      </c>
      <c r="B15" s="13">
        <v>128</v>
      </c>
      <c r="C15" s="13"/>
      <c r="D15" s="13">
        <f t="shared" si="0"/>
        <v>0</v>
      </c>
      <c r="E15" s="1"/>
      <c r="F15" s="12" t="s">
        <v>282</v>
      </c>
      <c r="G15" s="13">
        <v>128</v>
      </c>
      <c r="H15" s="13"/>
      <c r="I15" s="13">
        <f t="shared" si="1"/>
        <v>0</v>
      </c>
    </row>
    <row r="16" spans="1:9" x14ac:dyDescent="0.3">
      <c r="A16" s="12" t="s">
        <v>284</v>
      </c>
      <c r="B16" s="13">
        <v>128</v>
      </c>
      <c r="C16" s="13"/>
      <c r="D16" s="13">
        <f t="shared" si="0"/>
        <v>0</v>
      </c>
      <c r="E16" s="1"/>
      <c r="F16" s="12" t="s">
        <v>285</v>
      </c>
      <c r="G16" s="13">
        <v>128</v>
      </c>
      <c r="H16" s="13"/>
      <c r="I16" s="13">
        <f t="shared" si="1"/>
        <v>0</v>
      </c>
    </row>
    <row r="17" spans="1:9" x14ac:dyDescent="0.3">
      <c r="A17" s="12" t="s">
        <v>285</v>
      </c>
      <c r="B17" s="13">
        <v>128</v>
      </c>
      <c r="C17" s="13"/>
      <c r="D17" s="13">
        <f t="shared" si="0"/>
        <v>0</v>
      </c>
      <c r="E17" s="1"/>
      <c r="F17" s="12" t="s">
        <v>286</v>
      </c>
      <c r="G17" s="13">
        <v>128</v>
      </c>
      <c r="H17" s="13"/>
      <c r="I17" s="13">
        <f t="shared" si="1"/>
        <v>0</v>
      </c>
    </row>
    <row r="18" spans="1:9" x14ac:dyDescent="0.3">
      <c r="A18" s="12" t="s">
        <v>287</v>
      </c>
      <c r="B18" s="13">
        <v>128</v>
      </c>
      <c r="C18" s="13"/>
      <c r="D18" s="13">
        <f t="shared" si="0"/>
        <v>0</v>
      </c>
      <c r="E18" s="1"/>
      <c r="F18" s="12" t="s">
        <v>287</v>
      </c>
      <c r="G18" s="13">
        <v>128</v>
      </c>
      <c r="H18" s="13"/>
      <c r="I18" s="13">
        <f t="shared" si="1"/>
        <v>0</v>
      </c>
    </row>
    <row r="19" spans="1:9" x14ac:dyDescent="0.3">
      <c r="A19" s="12" t="s">
        <v>288</v>
      </c>
      <c r="B19" s="13">
        <v>128</v>
      </c>
      <c r="C19" s="13"/>
      <c r="D19" s="13">
        <f t="shared" si="0"/>
        <v>0</v>
      </c>
      <c r="E19" s="1"/>
      <c r="F19" s="12" t="s">
        <v>288</v>
      </c>
      <c r="G19" s="13">
        <v>128</v>
      </c>
      <c r="H19" s="13"/>
      <c r="I19" s="13">
        <f t="shared" si="1"/>
        <v>0</v>
      </c>
    </row>
    <row r="20" spans="1:9" x14ac:dyDescent="0.3">
      <c r="A20" s="12" t="s">
        <v>289</v>
      </c>
      <c r="B20" s="13">
        <v>128</v>
      </c>
      <c r="C20" s="13"/>
      <c r="D20" s="13">
        <f t="shared" si="0"/>
        <v>0</v>
      </c>
      <c r="E20" s="1"/>
      <c r="F20" s="12" t="s">
        <v>277</v>
      </c>
      <c r="G20" s="13">
        <v>128</v>
      </c>
      <c r="H20" s="13"/>
      <c r="I20" s="13">
        <f t="shared" si="1"/>
        <v>0</v>
      </c>
    </row>
    <row r="21" spans="1:9" x14ac:dyDescent="0.3">
      <c r="A21" s="12" t="s">
        <v>290</v>
      </c>
      <c r="B21" s="13">
        <v>128</v>
      </c>
      <c r="C21" s="13"/>
      <c r="D21" s="13">
        <f t="shared" si="0"/>
        <v>0</v>
      </c>
      <c r="E21" s="1"/>
      <c r="F21" s="12" t="s">
        <v>290</v>
      </c>
      <c r="G21" s="13">
        <v>128</v>
      </c>
      <c r="H21" s="13"/>
      <c r="I21" s="13">
        <f t="shared" si="1"/>
        <v>0</v>
      </c>
    </row>
    <row r="22" spans="1:9" x14ac:dyDescent="0.3">
      <c r="A22" s="12" t="s">
        <v>291</v>
      </c>
      <c r="B22" s="13">
        <v>128</v>
      </c>
      <c r="C22" s="13"/>
      <c r="D22" s="13">
        <f t="shared" si="0"/>
        <v>0</v>
      </c>
      <c r="E22" s="1"/>
      <c r="F22" s="12" t="s">
        <v>291</v>
      </c>
      <c r="G22" s="13">
        <v>128</v>
      </c>
      <c r="H22" s="13"/>
      <c r="I22" s="13">
        <f t="shared" si="1"/>
        <v>0</v>
      </c>
    </row>
    <row r="23" spans="1:9" x14ac:dyDescent="0.3">
      <c r="A23" s="12" t="s">
        <v>292</v>
      </c>
      <c r="B23" s="13">
        <v>128</v>
      </c>
      <c r="C23" s="13"/>
      <c r="D23" s="13">
        <f t="shared" si="0"/>
        <v>0</v>
      </c>
      <c r="E23" s="1"/>
      <c r="F23" s="12" t="s">
        <v>292</v>
      </c>
      <c r="G23" s="13">
        <v>128</v>
      </c>
      <c r="H23" s="13"/>
      <c r="I23" s="13">
        <f t="shared" si="1"/>
        <v>0</v>
      </c>
    </row>
    <row r="24" spans="1:9" x14ac:dyDescent="0.3">
      <c r="A24" s="12" t="s">
        <v>293</v>
      </c>
      <c r="B24" s="13">
        <v>128</v>
      </c>
      <c r="C24" s="13"/>
      <c r="D24" s="13">
        <f t="shared" si="0"/>
        <v>0</v>
      </c>
      <c r="E24" s="1"/>
      <c r="F24" s="12" t="s">
        <v>293</v>
      </c>
      <c r="G24" s="13">
        <v>128</v>
      </c>
      <c r="H24" s="13"/>
      <c r="I24" s="13">
        <f t="shared" si="1"/>
        <v>0</v>
      </c>
    </row>
    <row r="25" spans="1:9" x14ac:dyDescent="0.3">
      <c r="A25" s="12" t="s">
        <v>402</v>
      </c>
      <c r="B25" s="13">
        <v>128</v>
      </c>
      <c r="C25" s="13"/>
      <c r="D25" s="13">
        <f t="shared" si="0"/>
        <v>0</v>
      </c>
      <c r="E25" s="1"/>
      <c r="F25" s="12" t="s">
        <v>405</v>
      </c>
      <c r="G25" s="13">
        <v>128</v>
      </c>
      <c r="H25" s="13"/>
      <c r="I25" s="13">
        <f t="shared" si="1"/>
        <v>0</v>
      </c>
    </row>
    <row r="26" spans="1:9" x14ac:dyDescent="0.3">
      <c r="A26" s="12" t="s">
        <v>408</v>
      </c>
      <c r="B26" s="13">
        <v>128</v>
      </c>
      <c r="C26" s="13"/>
      <c r="D26" s="13">
        <f t="shared" si="0"/>
        <v>0</v>
      </c>
      <c r="E26" s="1"/>
      <c r="F26" s="12" t="s">
        <v>406</v>
      </c>
      <c r="G26" s="13">
        <v>128</v>
      </c>
      <c r="H26" s="13"/>
      <c r="I26" s="13">
        <f t="shared" si="1"/>
        <v>0</v>
      </c>
    </row>
    <row r="27" spans="1:9" x14ac:dyDescent="0.3">
      <c r="A27" s="12" t="s">
        <v>403</v>
      </c>
      <c r="B27" s="13">
        <v>128</v>
      </c>
      <c r="C27" s="13"/>
      <c r="D27" s="13">
        <f t="shared" si="0"/>
        <v>0</v>
      </c>
      <c r="E27" s="1"/>
      <c r="F27" s="12" t="s">
        <v>407</v>
      </c>
      <c r="G27" s="13">
        <v>128</v>
      </c>
      <c r="H27" s="13"/>
      <c r="I27" s="13">
        <f t="shared" si="1"/>
        <v>0</v>
      </c>
    </row>
    <row r="28" spans="1:9" x14ac:dyDescent="0.3">
      <c r="A28" s="14" t="s">
        <v>404</v>
      </c>
      <c r="B28" s="13">
        <v>128</v>
      </c>
      <c r="C28" s="13"/>
      <c r="D28" s="13">
        <f t="shared" si="0"/>
        <v>0</v>
      </c>
      <c r="E28" s="1"/>
      <c r="F28" s="34" t="s">
        <v>375</v>
      </c>
      <c r="G28" s="35"/>
      <c r="H28" s="36"/>
      <c r="I28" s="37">
        <f>SUM(I3:I27)</f>
        <v>0</v>
      </c>
    </row>
    <row r="29" spans="1:9" x14ac:dyDescent="0.3">
      <c r="A29" s="34" t="s">
        <v>375</v>
      </c>
      <c r="B29" s="35"/>
      <c r="C29" s="36"/>
      <c r="D29" s="35">
        <f>SUM(D3:D28)</f>
        <v>0</v>
      </c>
      <c r="H29" s="4"/>
      <c r="I29" s="4"/>
    </row>
    <row r="33" spans="1:9" ht="27.75" customHeight="1" x14ac:dyDescent="0.45">
      <c r="A33" s="31" t="s">
        <v>411</v>
      </c>
      <c r="B33" s="28"/>
      <c r="C33" s="27"/>
      <c r="D33" s="27"/>
    </row>
    <row r="34" spans="1:9" ht="28.8" x14ac:dyDescent="0.3">
      <c r="A34" s="29" t="s">
        <v>409</v>
      </c>
      <c r="B34" s="30" t="s">
        <v>410</v>
      </c>
      <c r="C34" s="29" t="s">
        <v>374</v>
      </c>
      <c r="D34" s="29" t="s">
        <v>375</v>
      </c>
      <c r="E34" s="5"/>
      <c r="F34" s="29" t="s">
        <v>401</v>
      </c>
      <c r="G34" s="30" t="s">
        <v>410</v>
      </c>
      <c r="H34" s="29" t="s">
        <v>374</v>
      </c>
      <c r="I34" s="29" t="s">
        <v>375</v>
      </c>
    </row>
    <row r="35" spans="1:9" x14ac:dyDescent="0.3">
      <c r="A35" s="12" t="s">
        <v>267</v>
      </c>
      <c r="B35" s="13">
        <v>3.5</v>
      </c>
      <c r="C35" s="12"/>
      <c r="D35" s="12"/>
      <c r="E35" s="1"/>
      <c r="F35" s="12" t="s">
        <v>267</v>
      </c>
      <c r="G35" s="13">
        <v>3.5</v>
      </c>
      <c r="H35" s="14"/>
      <c r="I35" s="14"/>
    </row>
    <row r="36" spans="1:9" x14ac:dyDescent="0.3">
      <c r="A36" s="12" t="s">
        <v>270</v>
      </c>
      <c r="B36" s="13">
        <v>3.5</v>
      </c>
      <c r="C36" s="12"/>
      <c r="D36" s="12"/>
      <c r="E36" s="1"/>
      <c r="F36" s="12" t="s">
        <v>270</v>
      </c>
      <c r="G36" s="13">
        <v>3.5</v>
      </c>
      <c r="H36" s="14"/>
      <c r="I36" s="14"/>
    </row>
    <row r="37" spans="1:9" x14ac:dyDescent="0.3">
      <c r="A37" s="12" t="s">
        <v>271</v>
      </c>
      <c r="B37" s="13">
        <v>3.5</v>
      </c>
      <c r="C37" s="12"/>
      <c r="D37" s="12"/>
      <c r="E37" s="1"/>
      <c r="F37" s="12" t="s">
        <v>271</v>
      </c>
      <c r="G37" s="13">
        <v>3.5</v>
      </c>
      <c r="H37" s="14"/>
      <c r="I37" s="14"/>
    </row>
    <row r="38" spans="1:9" x14ac:dyDescent="0.3">
      <c r="A38" s="12" t="s">
        <v>272</v>
      </c>
      <c r="B38" s="13">
        <v>3.5</v>
      </c>
      <c r="C38" s="12"/>
      <c r="D38" s="12"/>
      <c r="E38" s="1"/>
      <c r="F38" s="12" t="s">
        <v>272</v>
      </c>
      <c r="G38" s="13">
        <v>3.5</v>
      </c>
      <c r="H38" s="14"/>
      <c r="I38" s="14"/>
    </row>
    <row r="39" spans="1:9" x14ac:dyDescent="0.3">
      <c r="A39" s="12" t="s">
        <v>273</v>
      </c>
      <c r="B39" s="13">
        <v>3.5</v>
      </c>
      <c r="C39" s="12"/>
      <c r="D39" s="12"/>
      <c r="E39" s="1"/>
      <c r="F39" s="12" t="s">
        <v>273</v>
      </c>
      <c r="G39" s="13">
        <v>3.5</v>
      </c>
      <c r="H39" s="14"/>
      <c r="I39" s="14"/>
    </row>
    <row r="40" spans="1:9" x14ac:dyDescent="0.3">
      <c r="A40" s="12" t="s">
        <v>274</v>
      </c>
      <c r="B40" s="13">
        <v>3.5</v>
      </c>
      <c r="C40" s="12"/>
      <c r="D40" s="12"/>
      <c r="E40" s="1"/>
      <c r="F40" s="12" t="s">
        <v>274</v>
      </c>
      <c r="G40" s="13">
        <v>3.5</v>
      </c>
      <c r="H40" s="14"/>
      <c r="I40" s="14"/>
    </row>
    <row r="41" spans="1:9" x14ac:dyDescent="0.3">
      <c r="A41" s="12" t="s">
        <v>275</v>
      </c>
      <c r="B41" s="13">
        <v>3.5</v>
      </c>
      <c r="C41" s="12"/>
      <c r="D41" s="12"/>
      <c r="E41" s="1"/>
      <c r="F41" s="12" t="s">
        <v>275</v>
      </c>
      <c r="G41" s="13">
        <v>3.5</v>
      </c>
      <c r="H41" s="14"/>
      <c r="I41" s="14"/>
    </row>
    <row r="42" spans="1:9" x14ac:dyDescent="0.3">
      <c r="A42" s="12" t="s">
        <v>276</v>
      </c>
      <c r="B42" s="13">
        <v>3.5</v>
      </c>
      <c r="C42" s="12"/>
      <c r="D42" s="12"/>
      <c r="E42" s="1"/>
      <c r="F42" s="12" t="s">
        <v>276</v>
      </c>
      <c r="G42" s="13">
        <v>3.5</v>
      </c>
      <c r="H42" s="14"/>
      <c r="I42" s="14"/>
    </row>
    <row r="43" spans="1:9" x14ac:dyDescent="0.3">
      <c r="A43" s="12" t="s">
        <v>277</v>
      </c>
      <c r="B43" s="13">
        <v>3.5</v>
      </c>
      <c r="C43" s="12"/>
      <c r="D43" s="12"/>
      <c r="E43" s="1"/>
      <c r="F43" s="12" t="s">
        <v>278</v>
      </c>
      <c r="G43" s="13">
        <v>3.5</v>
      </c>
      <c r="H43" s="14"/>
      <c r="I43" s="14"/>
    </row>
    <row r="44" spans="1:9" x14ac:dyDescent="0.3">
      <c r="A44" s="12" t="s">
        <v>279</v>
      </c>
      <c r="B44" s="13">
        <v>3.5</v>
      </c>
      <c r="C44" s="12"/>
      <c r="D44" s="12"/>
      <c r="E44" s="1"/>
      <c r="F44" s="12" t="s">
        <v>279</v>
      </c>
      <c r="G44" s="13">
        <v>3.5</v>
      </c>
      <c r="H44" s="14"/>
      <c r="I44" s="14"/>
    </row>
    <row r="45" spans="1:9" x14ac:dyDescent="0.3">
      <c r="A45" s="12" t="s">
        <v>280</v>
      </c>
      <c r="B45" s="13">
        <v>3.5</v>
      </c>
      <c r="C45" s="12"/>
      <c r="D45" s="12"/>
      <c r="E45" s="1"/>
      <c r="F45" s="12" t="s">
        <v>281</v>
      </c>
      <c r="G45" s="13">
        <v>3.5</v>
      </c>
      <c r="H45" s="14"/>
      <c r="I45" s="14"/>
    </row>
    <row r="46" spans="1:9" x14ac:dyDescent="0.3">
      <c r="A46" s="12" t="s">
        <v>282</v>
      </c>
      <c r="B46" s="13">
        <v>3.5</v>
      </c>
      <c r="C46" s="12"/>
      <c r="D46" s="12"/>
      <c r="E46" s="1"/>
      <c r="F46" s="12" t="s">
        <v>280</v>
      </c>
      <c r="G46" s="13">
        <v>3.5</v>
      </c>
      <c r="H46" s="14"/>
      <c r="I46" s="14"/>
    </row>
    <row r="47" spans="1:9" x14ac:dyDescent="0.3">
      <c r="A47" s="12" t="s">
        <v>283</v>
      </c>
      <c r="B47" s="13">
        <v>3.5</v>
      </c>
      <c r="C47" s="12"/>
      <c r="D47" s="12"/>
      <c r="E47" s="1"/>
      <c r="F47" s="12" t="s">
        <v>282</v>
      </c>
      <c r="G47" s="13">
        <v>3.5</v>
      </c>
      <c r="H47" s="14"/>
      <c r="I47" s="14"/>
    </row>
    <row r="48" spans="1:9" x14ac:dyDescent="0.3">
      <c r="A48" s="12" t="s">
        <v>284</v>
      </c>
      <c r="B48" s="13">
        <v>3.5</v>
      </c>
      <c r="C48" s="12"/>
      <c r="D48" s="12"/>
      <c r="E48" s="1"/>
      <c r="F48" s="12" t="s">
        <v>285</v>
      </c>
      <c r="G48" s="13">
        <v>3.5</v>
      </c>
      <c r="H48" s="14"/>
      <c r="I48" s="14"/>
    </row>
    <row r="49" spans="1:9" x14ac:dyDescent="0.3">
      <c r="A49" s="12" t="s">
        <v>285</v>
      </c>
      <c r="B49" s="13">
        <v>3.5</v>
      </c>
      <c r="C49" s="12"/>
      <c r="D49" s="12"/>
      <c r="E49" s="1"/>
      <c r="F49" s="12" t="s">
        <v>286</v>
      </c>
      <c r="G49" s="13">
        <v>3.5</v>
      </c>
      <c r="H49" s="14"/>
      <c r="I49" s="14"/>
    </row>
    <row r="50" spans="1:9" x14ac:dyDescent="0.3">
      <c r="A50" s="12" t="s">
        <v>287</v>
      </c>
      <c r="B50" s="13">
        <v>3.5</v>
      </c>
      <c r="C50" s="12"/>
      <c r="D50" s="12"/>
      <c r="E50" s="1"/>
      <c r="F50" s="12" t="s">
        <v>287</v>
      </c>
      <c r="G50" s="13">
        <v>3.5</v>
      </c>
      <c r="H50" s="14"/>
      <c r="I50" s="14"/>
    </row>
    <row r="51" spans="1:9" x14ac:dyDescent="0.3">
      <c r="A51" s="12" t="s">
        <v>288</v>
      </c>
      <c r="B51" s="13">
        <v>3.5</v>
      </c>
      <c r="C51" s="12"/>
      <c r="D51" s="12"/>
      <c r="E51" s="1"/>
      <c r="F51" s="12" t="s">
        <v>288</v>
      </c>
      <c r="G51" s="13">
        <v>3.5</v>
      </c>
      <c r="H51" s="14"/>
      <c r="I51" s="14"/>
    </row>
    <row r="52" spans="1:9" x14ac:dyDescent="0.3">
      <c r="A52" s="12" t="s">
        <v>289</v>
      </c>
      <c r="B52" s="13">
        <v>3.5</v>
      </c>
      <c r="C52" s="12"/>
      <c r="D52" s="12"/>
      <c r="E52" s="1"/>
      <c r="F52" s="12" t="s">
        <v>277</v>
      </c>
      <c r="G52" s="13">
        <v>3.5</v>
      </c>
      <c r="H52" s="14"/>
      <c r="I52" s="14"/>
    </row>
    <row r="53" spans="1:9" x14ac:dyDescent="0.3">
      <c r="A53" s="12" t="s">
        <v>290</v>
      </c>
      <c r="B53" s="13">
        <v>3.5</v>
      </c>
      <c r="C53" s="12"/>
      <c r="D53" s="12"/>
      <c r="E53" s="1"/>
      <c r="F53" s="12" t="s">
        <v>290</v>
      </c>
      <c r="G53" s="13">
        <v>3.5</v>
      </c>
      <c r="H53" s="14"/>
      <c r="I53" s="14"/>
    </row>
    <row r="54" spans="1:9" x14ac:dyDescent="0.3">
      <c r="A54" s="12" t="s">
        <v>291</v>
      </c>
      <c r="B54" s="13">
        <v>3.5</v>
      </c>
      <c r="C54" s="12"/>
      <c r="D54" s="12"/>
      <c r="E54" s="1"/>
      <c r="F54" s="12" t="s">
        <v>291</v>
      </c>
      <c r="G54" s="13">
        <v>3.5</v>
      </c>
      <c r="H54" s="14"/>
      <c r="I54" s="14"/>
    </row>
    <row r="55" spans="1:9" x14ac:dyDescent="0.3">
      <c r="A55" s="12" t="s">
        <v>292</v>
      </c>
      <c r="B55" s="13">
        <v>3.5</v>
      </c>
      <c r="C55" s="12"/>
      <c r="D55" s="12"/>
      <c r="E55" s="1"/>
      <c r="F55" s="12" t="s">
        <v>292</v>
      </c>
      <c r="G55" s="13">
        <v>3.5</v>
      </c>
      <c r="H55" s="14"/>
      <c r="I55" s="14"/>
    </row>
    <row r="56" spans="1:9" x14ac:dyDescent="0.3">
      <c r="A56" s="12" t="s">
        <v>293</v>
      </c>
      <c r="B56" s="13">
        <v>3.5</v>
      </c>
      <c r="C56" s="12"/>
      <c r="D56" s="12"/>
      <c r="E56" s="1"/>
      <c r="F56" s="12" t="s">
        <v>293</v>
      </c>
      <c r="G56" s="13">
        <v>3.5</v>
      </c>
      <c r="H56" s="14"/>
      <c r="I56" s="14"/>
    </row>
    <row r="57" spans="1:9" x14ac:dyDescent="0.3">
      <c r="A57" s="12" t="s">
        <v>402</v>
      </c>
      <c r="B57" s="13">
        <v>3.5</v>
      </c>
      <c r="C57" s="12"/>
      <c r="D57" s="12"/>
      <c r="E57" s="1"/>
      <c r="F57" s="12" t="s">
        <v>405</v>
      </c>
      <c r="G57" s="13">
        <v>3.5</v>
      </c>
      <c r="H57" s="14"/>
      <c r="I57" s="14"/>
    </row>
    <row r="58" spans="1:9" x14ac:dyDescent="0.3">
      <c r="A58" s="12" t="s">
        <v>408</v>
      </c>
      <c r="B58" s="13">
        <v>3.5</v>
      </c>
      <c r="C58" s="12"/>
      <c r="D58" s="12"/>
      <c r="E58" s="1"/>
      <c r="F58" s="12" t="s">
        <v>406</v>
      </c>
      <c r="G58" s="13">
        <v>3.5</v>
      </c>
      <c r="H58" s="14"/>
      <c r="I58" s="14"/>
    </row>
    <row r="59" spans="1:9" x14ac:dyDescent="0.3">
      <c r="A59" s="12" t="s">
        <v>403</v>
      </c>
      <c r="B59" s="13">
        <v>3.5</v>
      </c>
      <c r="C59" s="12"/>
      <c r="D59" s="12"/>
      <c r="E59" s="1"/>
      <c r="F59" s="12" t="s">
        <v>407</v>
      </c>
      <c r="G59" s="13">
        <v>3.5</v>
      </c>
      <c r="H59" s="14"/>
      <c r="I59" s="14"/>
    </row>
    <row r="60" spans="1:9" x14ac:dyDescent="0.3">
      <c r="A60" s="14" t="s">
        <v>404</v>
      </c>
      <c r="B60" s="13">
        <v>3.5</v>
      </c>
      <c r="C60" s="12"/>
      <c r="D60" s="12"/>
      <c r="E60" s="1"/>
      <c r="F60" s="34" t="s">
        <v>375</v>
      </c>
      <c r="G60" s="35"/>
      <c r="H60" s="36"/>
      <c r="I60" s="36"/>
    </row>
    <row r="61" spans="1:9" x14ac:dyDescent="0.3">
      <c r="A61" s="34" t="s">
        <v>375</v>
      </c>
      <c r="B61" s="35"/>
      <c r="C61" s="36"/>
      <c r="D61" s="36"/>
    </row>
    <row r="72" ht="15" customHeight="1" x14ac:dyDescent="0.3"/>
    <row r="73" ht="30" customHeight="1" x14ac:dyDescent="0.3"/>
    <row r="74" ht="30" customHeight="1" x14ac:dyDescent="0.3"/>
    <row r="75" ht="15" customHeight="1" x14ac:dyDescent="0.3"/>
    <row r="76" ht="1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F0E4-1040-4315-984C-078828368AC3}">
  <dimension ref="A1:I16"/>
  <sheetViews>
    <sheetView workbookViewId="0">
      <selection activeCell="N8" sqref="N8"/>
    </sheetView>
  </sheetViews>
  <sheetFormatPr defaultRowHeight="14.4" x14ac:dyDescent="0.3"/>
  <cols>
    <col min="1" max="1" width="19.109375" customWidth="1"/>
    <col min="2" max="2" width="14" style="4" customWidth="1"/>
    <col min="3" max="3" width="9.109375" style="15"/>
    <col min="4" max="4" width="10.5546875" bestFit="1" customWidth="1"/>
    <col min="6" max="6" width="20.109375" customWidth="1"/>
    <col min="7" max="7" width="11.44140625" style="4" customWidth="1"/>
    <col min="8" max="8" width="9.109375" style="15"/>
  </cols>
  <sheetData>
    <row r="1" spans="1:9" x14ac:dyDescent="0.3">
      <c r="A1" s="8" t="s">
        <v>294</v>
      </c>
      <c r="F1" s="8" t="s">
        <v>294</v>
      </c>
    </row>
    <row r="2" spans="1:9" ht="43.2" x14ac:dyDescent="0.3">
      <c r="A2" s="29" t="s">
        <v>295</v>
      </c>
      <c r="B2" s="30" t="s">
        <v>414</v>
      </c>
      <c r="C2" s="29" t="s">
        <v>374</v>
      </c>
      <c r="D2" s="29" t="s">
        <v>375</v>
      </c>
      <c r="E2" s="38"/>
      <c r="F2" s="29" t="s">
        <v>295</v>
      </c>
      <c r="G2" s="30" t="s">
        <v>318</v>
      </c>
      <c r="H2" s="29" t="s">
        <v>374</v>
      </c>
      <c r="I2" s="29" t="s">
        <v>375</v>
      </c>
    </row>
    <row r="3" spans="1:9" x14ac:dyDescent="0.3">
      <c r="A3" s="12" t="s">
        <v>296</v>
      </c>
      <c r="B3" s="13">
        <v>149</v>
      </c>
      <c r="C3" s="43">
        <v>1</v>
      </c>
      <c r="D3" s="39">
        <f>C3*B3</f>
        <v>149</v>
      </c>
      <c r="F3" s="12" t="s">
        <v>296</v>
      </c>
      <c r="G3" s="13">
        <v>3</v>
      </c>
      <c r="H3" s="43">
        <v>1</v>
      </c>
      <c r="I3" s="39">
        <f>H3*G3</f>
        <v>3</v>
      </c>
    </row>
    <row r="4" spans="1:9" x14ac:dyDescent="0.3">
      <c r="A4" s="12" t="s">
        <v>299</v>
      </c>
      <c r="B4" s="13">
        <v>149</v>
      </c>
      <c r="C4" s="43"/>
      <c r="D4" s="39">
        <f t="shared" ref="D4:D15" si="0">C4*B4</f>
        <v>0</v>
      </c>
      <c r="F4" s="12" t="s">
        <v>299</v>
      </c>
      <c r="G4" s="13">
        <v>3</v>
      </c>
      <c r="H4" s="43"/>
      <c r="I4" s="39">
        <f t="shared" ref="I4:I15" si="1">H4*G4</f>
        <v>0</v>
      </c>
    </row>
    <row r="5" spans="1:9" x14ac:dyDescent="0.3">
      <c r="A5" s="12" t="s">
        <v>301</v>
      </c>
      <c r="B5" s="13">
        <v>149</v>
      </c>
      <c r="C5" s="43"/>
      <c r="D5" s="39">
        <f t="shared" si="0"/>
        <v>0</v>
      </c>
      <c r="F5" s="12" t="s">
        <v>301</v>
      </c>
      <c r="G5" s="13">
        <v>3</v>
      </c>
      <c r="H5" s="43"/>
      <c r="I5" s="39">
        <f t="shared" si="1"/>
        <v>0</v>
      </c>
    </row>
    <row r="6" spans="1:9" x14ac:dyDescent="0.3">
      <c r="A6" s="12" t="s">
        <v>303</v>
      </c>
      <c r="B6" s="13">
        <v>149</v>
      </c>
      <c r="C6" s="43"/>
      <c r="D6" s="39">
        <f t="shared" si="0"/>
        <v>0</v>
      </c>
      <c r="F6" s="12" t="s">
        <v>303</v>
      </c>
      <c r="G6" s="13">
        <v>3</v>
      </c>
      <c r="H6" s="43"/>
      <c r="I6" s="39">
        <f t="shared" si="1"/>
        <v>0</v>
      </c>
    </row>
    <row r="7" spans="1:9" x14ac:dyDescent="0.3">
      <c r="A7" s="12" t="s">
        <v>305</v>
      </c>
      <c r="B7" s="13">
        <v>149</v>
      </c>
      <c r="C7" s="43"/>
      <c r="D7" s="39">
        <f t="shared" si="0"/>
        <v>0</v>
      </c>
      <c r="F7" s="12" t="s">
        <v>305</v>
      </c>
      <c r="G7" s="13">
        <v>3</v>
      </c>
      <c r="H7" s="43"/>
      <c r="I7" s="39">
        <f t="shared" si="1"/>
        <v>0</v>
      </c>
    </row>
    <row r="8" spans="1:9" x14ac:dyDescent="0.3">
      <c r="A8" s="12" t="s">
        <v>307</v>
      </c>
      <c r="B8" s="13">
        <v>149</v>
      </c>
      <c r="C8" s="43"/>
      <c r="D8" s="39">
        <f t="shared" si="0"/>
        <v>0</v>
      </c>
      <c r="F8" s="12" t="s">
        <v>307</v>
      </c>
      <c r="G8" s="13">
        <v>3</v>
      </c>
      <c r="H8" s="43"/>
      <c r="I8" s="39">
        <f t="shared" si="1"/>
        <v>0</v>
      </c>
    </row>
    <row r="9" spans="1:9" x14ac:dyDescent="0.3">
      <c r="A9" s="14" t="s">
        <v>309</v>
      </c>
      <c r="B9" s="13">
        <v>149</v>
      </c>
      <c r="C9" s="43"/>
      <c r="D9" s="39">
        <f t="shared" si="0"/>
        <v>0</v>
      </c>
      <c r="F9" s="14" t="s">
        <v>309</v>
      </c>
      <c r="G9" s="13">
        <v>3</v>
      </c>
      <c r="H9" s="43"/>
      <c r="I9" s="39">
        <f t="shared" si="1"/>
        <v>0</v>
      </c>
    </row>
    <row r="10" spans="1:9" x14ac:dyDescent="0.3">
      <c r="A10" s="12" t="s">
        <v>298</v>
      </c>
      <c r="B10" s="13">
        <v>149</v>
      </c>
      <c r="C10" s="43"/>
      <c r="D10" s="39">
        <f t="shared" si="0"/>
        <v>0</v>
      </c>
      <c r="F10" s="12" t="s">
        <v>298</v>
      </c>
      <c r="G10" s="13">
        <v>3</v>
      </c>
      <c r="H10" s="43"/>
      <c r="I10" s="39">
        <f t="shared" si="1"/>
        <v>0</v>
      </c>
    </row>
    <row r="11" spans="1:9" x14ac:dyDescent="0.3">
      <c r="A11" s="12" t="s">
        <v>300</v>
      </c>
      <c r="B11" s="13">
        <v>149</v>
      </c>
      <c r="C11" s="43"/>
      <c r="D11" s="39">
        <f t="shared" si="0"/>
        <v>0</v>
      </c>
      <c r="F11" s="12" t="s">
        <v>300</v>
      </c>
      <c r="G11" s="13">
        <v>3</v>
      </c>
      <c r="H11" s="43"/>
      <c r="I11" s="39">
        <f t="shared" si="1"/>
        <v>0</v>
      </c>
    </row>
    <row r="12" spans="1:9" x14ac:dyDescent="0.3">
      <c r="A12" s="12" t="s">
        <v>302</v>
      </c>
      <c r="B12" s="13">
        <v>149</v>
      </c>
      <c r="C12" s="43"/>
      <c r="D12" s="39">
        <f t="shared" si="0"/>
        <v>0</v>
      </c>
      <c r="F12" s="12" t="s">
        <v>302</v>
      </c>
      <c r="G12" s="13">
        <v>3</v>
      </c>
      <c r="H12" s="43"/>
      <c r="I12" s="39">
        <f t="shared" si="1"/>
        <v>0</v>
      </c>
    </row>
    <row r="13" spans="1:9" x14ac:dyDescent="0.3">
      <c r="A13" s="12" t="s">
        <v>304</v>
      </c>
      <c r="B13" s="13">
        <v>149</v>
      </c>
      <c r="C13" s="43"/>
      <c r="D13" s="39">
        <f t="shared" si="0"/>
        <v>0</v>
      </c>
      <c r="F13" s="12" t="s">
        <v>304</v>
      </c>
      <c r="G13" s="13">
        <v>3</v>
      </c>
      <c r="H13" s="43"/>
      <c r="I13" s="39">
        <f t="shared" si="1"/>
        <v>0</v>
      </c>
    </row>
    <row r="14" spans="1:9" x14ac:dyDescent="0.3">
      <c r="A14" s="12" t="s">
        <v>306</v>
      </c>
      <c r="B14" s="13">
        <v>149</v>
      </c>
      <c r="C14" s="43"/>
      <c r="D14" s="39">
        <f t="shared" si="0"/>
        <v>0</v>
      </c>
      <c r="F14" s="12" t="s">
        <v>306</v>
      </c>
      <c r="G14" s="13">
        <v>3</v>
      </c>
      <c r="H14" s="43"/>
      <c r="I14" s="39">
        <f t="shared" si="1"/>
        <v>0</v>
      </c>
    </row>
    <row r="15" spans="1:9" x14ac:dyDescent="0.3">
      <c r="A15" s="12" t="s">
        <v>308</v>
      </c>
      <c r="B15" s="13">
        <v>149</v>
      </c>
      <c r="C15" s="43"/>
      <c r="D15" s="39">
        <f t="shared" si="0"/>
        <v>0</v>
      </c>
      <c r="F15" s="12" t="s">
        <v>308</v>
      </c>
      <c r="G15" s="13">
        <v>3</v>
      </c>
      <c r="H15" s="43"/>
      <c r="I15" s="39">
        <f t="shared" si="1"/>
        <v>0</v>
      </c>
    </row>
    <row r="16" spans="1:9" x14ac:dyDescent="0.3">
      <c r="A16" s="40" t="s">
        <v>385</v>
      </c>
      <c r="B16" s="41"/>
      <c r="C16" s="44"/>
      <c r="D16" s="42">
        <f>SUM(D3:D15)</f>
        <v>149</v>
      </c>
      <c r="F16" s="40" t="s">
        <v>385</v>
      </c>
      <c r="G16" s="41"/>
      <c r="H16" s="44"/>
      <c r="I16" s="42">
        <f>SUM(I3:I15)</f>
        <v>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1046-9F7C-40AA-BE33-6635EA8897A5}">
  <dimension ref="A1:J29"/>
  <sheetViews>
    <sheetView topLeftCell="A7" workbookViewId="0">
      <selection activeCell="O22" sqref="O22"/>
    </sheetView>
  </sheetViews>
  <sheetFormatPr defaultRowHeight="14.4" x14ac:dyDescent="0.3"/>
  <cols>
    <col min="1" max="1" width="14.6640625" customWidth="1"/>
    <col min="2" max="2" width="11.5546875" style="4" customWidth="1"/>
    <col min="7" max="7" width="20.109375" customWidth="1"/>
    <col min="8" max="8" width="12.109375" customWidth="1"/>
  </cols>
  <sheetData>
    <row r="1" spans="1:10" x14ac:dyDescent="0.3">
      <c r="A1" s="24" t="s">
        <v>345</v>
      </c>
      <c r="B1" s="25"/>
      <c r="C1" s="24"/>
      <c r="D1" s="24"/>
      <c r="E1" s="24"/>
      <c r="F1" s="24"/>
    </row>
    <row r="2" spans="1:10" x14ac:dyDescent="0.3">
      <c r="A2" s="19" t="s">
        <v>346</v>
      </c>
      <c r="B2" s="22" t="s">
        <v>386</v>
      </c>
      <c r="C2" s="19" t="s">
        <v>374</v>
      </c>
      <c r="D2" s="19" t="s">
        <v>385</v>
      </c>
      <c r="E2" s="5"/>
      <c r="F2" s="5"/>
      <c r="G2" s="19" t="s">
        <v>346</v>
      </c>
      <c r="H2" s="22" t="s">
        <v>388</v>
      </c>
      <c r="I2" s="19" t="s">
        <v>374</v>
      </c>
      <c r="J2" s="19" t="s">
        <v>385</v>
      </c>
    </row>
    <row r="3" spans="1:10" x14ac:dyDescent="0.3">
      <c r="A3" s="12" t="s">
        <v>347</v>
      </c>
      <c r="B3" s="13">
        <v>138</v>
      </c>
      <c r="C3" s="12"/>
      <c r="D3" s="12"/>
      <c r="E3" s="1"/>
      <c r="F3" s="1"/>
      <c r="G3" s="12" t="s">
        <v>347</v>
      </c>
      <c r="H3" s="13">
        <v>2.5</v>
      </c>
      <c r="I3" s="12"/>
      <c r="J3" s="12"/>
    </row>
    <row r="4" spans="1:10" x14ac:dyDescent="0.3">
      <c r="A4" s="12" t="s">
        <v>348</v>
      </c>
      <c r="B4" s="13">
        <v>138</v>
      </c>
      <c r="C4" s="12"/>
      <c r="D4" s="12"/>
      <c r="E4" s="1"/>
      <c r="F4" s="1"/>
      <c r="G4" s="12" t="s">
        <v>348</v>
      </c>
      <c r="H4" s="13">
        <v>2.5</v>
      </c>
      <c r="I4" s="12"/>
      <c r="J4" s="12"/>
    </row>
    <row r="5" spans="1:10" x14ac:dyDescent="0.3">
      <c r="A5" s="12" t="s">
        <v>349</v>
      </c>
      <c r="B5" s="13">
        <v>138</v>
      </c>
      <c r="C5" s="12"/>
      <c r="D5" s="12"/>
      <c r="E5" s="1"/>
      <c r="F5" s="1"/>
      <c r="G5" s="12" t="s">
        <v>349</v>
      </c>
      <c r="H5" s="13">
        <v>2.5</v>
      </c>
      <c r="I5" s="12"/>
      <c r="J5" s="12"/>
    </row>
    <row r="6" spans="1:10" x14ac:dyDescent="0.3">
      <c r="A6" s="12" t="s">
        <v>350</v>
      </c>
      <c r="B6" s="13">
        <v>138</v>
      </c>
      <c r="C6" s="12"/>
      <c r="D6" s="12"/>
      <c r="E6" s="1"/>
      <c r="F6" s="1"/>
      <c r="G6" s="12" t="s">
        <v>350</v>
      </c>
      <c r="H6" s="13">
        <v>2.5</v>
      </c>
      <c r="I6" s="12"/>
      <c r="J6" s="12"/>
    </row>
    <row r="7" spans="1:10" x14ac:dyDescent="0.3">
      <c r="A7" s="12" t="s">
        <v>351</v>
      </c>
      <c r="B7" s="13">
        <v>138</v>
      </c>
      <c r="C7" s="12"/>
      <c r="D7" s="12"/>
      <c r="E7" s="1"/>
      <c r="F7" s="1"/>
      <c r="G7" s="12" t="s">
        <v>351</v>
      </c>
      <c r="H7" s="13">
        <v>2.5</v>
      </c>
      <c r="I7" s="12"/>
      <c r="J7" s="12"/>
    </row>
    <row r="8" spans="1:10" x14ac:dyDescent="0.3">
      <c r="A8" s="12" t="s">
        <v>352</v>
      </c>
      <c r="B8" s="13">
        <v>138</v>
      </c>
      <c r="C8" s="12"/>
      <c r="D8" s="12"/>
      <c r="E8" s="1"/>
      <c r="F8" s="1"/>
      <c r="G8" s="12" t="s">
        <v>352</v>
      </c>
      <c r="H8" s="13">
        <v>2.5</v>
      </c>
      <c r="I8" s="12"/>
      <c r="J8" s="12"/>
    </row>
    <row r="9" spans="1:10" x14ac:dyDescent="0.3">
      <c r="A9" s="12" t="s">
        <v>353</v>
      </c>
      <c r="B9" s="13">
        <v>138</v>
      </c>
      <c r="C9" s="12"/>
      <c r="D9" s="12"/>
      <c r="E9" s="1"/>
      <c r="F9" s="1"/>
      <c r="G9" s="12" t="s">
        <v>353</v>
      </c>
      <c r="H9" s="13">
        <v>2.5</v>
      </c>
      <c r="I9" s="12"/>
      <c r="J9" s="12"/>
    </row>
    <row r="10" spans="1:10" x14ac:dyDescent="0.3">
      <c r="A10" s="12" t="s">
        <v>354</v>
      </c>
      <c r="B10" s="13">
        <v>138</v>
      </c>
      <c r="C10" s="12"/>
      <c r="D10" s="12"/>
      <c r="E10" s="1"/>
      <c r="F10" s="1"/>
      <c r="G10" s="12" t="s">
        <v>354</v>
      </c>
      <c r="H10" s="13">
        <v>2.5</v>
      </c>
      <c r="I10" s="12"/>
      <c r="J10" s="12"/>
    </row>
    <row r="11" spans="1:10" x14ac:dyDescent="0.3">
      <c r="A11" s="12" t="s">
        <v>355</v>
      </c>
      <c r="B11" s="13">
        <v>138</v>
      </c>
      <c r="C11" s="12"/>
      <c r="D11" s="12"/>
      <c r="E11" s="1"/>
      <c r="F11" s="1"/>
      <c r="G11" s="12" t="s">
        <v>355</v>
      </c>
      <c r="H11" s="13">
        <v>2.5</v>
      </c>
      <c r="I11" s="12"/>
      <c r="J11" s="12"/>
    </row>
    <row r="12" spans="1:10" x14ac:dyDescent="0.3">
      <c r="A12" s="19" t="s">
        <v>385</v>
      </c>
      <c r="B12" s="21"/>
      <c r="C12" s="21"/>
      <c r="D12" s="21"/>
      <c r="E12" s="1"/>
      <c r="F12" s="1"/>
      <c r="G12" s="12" t="s">
        <v>356</v>
      </c>
      <c r="H12" s="13">
        <v>2.7</v>
      </c>
      <c r="I12" s="12"/>
      <c r="J12" s="12"/>
    </row>
    <row r="13" spans="1:10" ht="28.8" x14ac:dyDescent="0.3">
      <c r="A13" s="1"/>
      <c r="B13" s="1"/>
      <c r="C13" s="1"/>
      <c r="D13" s="1"/>
      <c r="E13" s="1"/>
      <c r="F13" s="1"/>
      <c r="G13" s="12" t="s">
        <v>389</v>
      </c>
      <c r="H13" s="13">
        <v>2.4</v>
      </c>
      <c r="I13" s="12"/>
      <c r="J13" s="12"/>
    </row>
    <row r="14" spans="1:10" x14ac:dyDescent="0.3">
      <c r="A14" s="1"/>
      <c r="B14" s="1"/>
      <c r="C14" s="1"/>
      <c r="D14" s="1"/>
      <c r="E14" s="1"/>
      <c r="F14" s="1"/>
      <c r="G14" s="19" t="s">
        <v>385</v>
      </c>
      <c r="H14" s="21"/>
      <c r="I14" s="21"/>
      <c r="J14" s="2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9" t="s">
        <v>387</v>
      </c>
      <c r="B16" s="22" t="s">
        <v>386</v>
      </c>
      <c r="C16" s="19" t="s">
        <v>374</v>
      </c>
      <c r="D16" s="19" t="s">
        <v>385</v>
      </c>
      <c r="E16" s="1"/>
      <c r="F16" s="1"/>
      <c r="G16" s="19" t="s">
        <v>387</v>
      </c>
      <c r="H16" s="22" t="s">
        <v>388</v>
      </c>
      <c r="I16" s="19" t="s">
        <v>374</v>
      </c>
      <c r="J16" s="19" t="s">
        <v>385</v>
      </c>
    </row>
    <row r="17" spans="1:10" x14ac:dyDescent="0.3">
      <c r="A17" s="12" t="s">
        <v>347</v>
      </c>
      <c r="B17" s="13">
        <v>138</v>
      </c>
      <c r="C17" s="12"/>
      <c r="D17" s="12"/>
      <c r="E17" s="1"/>
      <c r="F17" s="1"/>
      <c r="G17" s="12" t="s">
        <v>347</v>
      </c>
      <c r="H17" s="13">
        <v>2.5</v>
      </c>
      <c r="I17" s="12"/>
      <c r="J17" s="12"/>
    </row>
    <row r="18" spans="1:10" x14ac:dyDescent="0.3">
      <c r="A18" s="12" t="s">
        <v>348</v>
      </c>
      <c r="B18" s="13">
        <v>138</v>
      </c>
      <c r="C18" s="12"/>
      <c r="D18" s="12"/>
      <c r="E18" s="1"/>
      <c r="F18" s="1"/>
      <c r="G18" s="12" t="s">
        <v>348</v>
      </c>
      <c r="H18" s="13">
        <v>2.5</v>
      </c>
      <c r="I18" s="12"/>
      <c r="J18" s="12"/>
    </row>
    <row r="19" spans="1:10" x14ac:dyDescent="0.3">
      <c r="A19" s="12" t="s">
        <v>349</v>
      </c>
      <c r="B19" s="13">
        <v>138</v>
      </c>
      <c r="C19" s="12"/>
      <c r="D19" s="12"/>
      <c r="E19" s="1"/>
      <c r="F19" s="1"/>
      <c r="G19" s="12" t="s">
        <v>349</v>
      </c>
      <c r="H19" s="13">
        <v>2.5</v>
      </c>
      <c r="I19" s="12"/>
      <c r="J19" s="12"/>
    </row>
    <row r="20" spans="1:10" x14ac:dyDescent="0.3">
      <c r="A20" s="12" t="s">
        <v>350</v>
      </c>
      <c r="B20" s="13">
        <v>138</v>
      </c>
      <c r="C20" s="12"/>
      <c r="D20" s="12"/>
      <c r="E20" s="1"/>
      <c r="F20" s="1"/>
      <c r="G20" s="12" t="s">
        <v>350</v>
      </c>
      <c r="H20" s="13">
        <v>2.5</v>
      </c>
      <c r="I20" s="12"/>
      <c r="J20" s="12"/>
    </row>
    <row r="21" spans="1:10" x14ac:dyDescent="0.3">
      <c r="A21" s="12" t="s">
        <v>351</v>
      </c>
      <c r="B21" s="13">
        <v>138</v>
      </c>
      <c r="C21" s="12"/>
      <c r="D21" s="12"/>
      <c r="E21" s="1"/>
      <c r="F21" s="1"/>
      <c r="G21" s="12" t="s">
        <v>351</v>
      </c>
      <c r="H21" s="13">
        <v>2.5</v>
      </c>
      <c r="I21" s="12"/>
      <c r="J21" s="12"/>
    </row>
    <row r="22" spans="1:10" x14ac:dyDescent="0.3">
      <c r="A22" s="12" t="s">
        <v>352</v>
      </c>
      <c r="B22" s="13">
        <v>138</v>
      </c>
      <c r="C22" s="12"/>
      <c r="D22" s="12"/>
      <c r="E22" s="1"/>
      <c r="F22" s="1"/>
      <c r="G22" s="12" t="s">
        <v>352</v>
      </c>
      <c r="H22" s="13">
        <v>2.5</v>
      </c>
      <c r="I22" s="12"/>
      <c r="J22" s="12"/>
    </row>
    <row r="23" spans="1:10" x14ac:dyDescent="0.3">
      <c r="A23" s="12" t="s">
        <v>353</v>
      </c>
      <c r="B23" s="13">
        <v>138</v>
      </c>
      <c r="C23" s="12"/>
      <c r="D23" s="12"/>
      <c r="E23" s="1"/>
      <c r="F23" s="1"/>
      <c r="G23" s="12" t="s">
        <v>353</v>
      </c>
      <c r="H23" s="13">
        <v>2.5</v>
      </c>
      <c r="I23" s="12"/>
      <c r="J23" s="12"/>
    </row>
    <row r="24" spans="1:10" x14ac:dyDescent="0.3">
      <c r="A24" s="12" t="s">
        <v>354</v>
      </c>
      <c r="B24" s="13">
        <v>138</v>
      </c>
      <c r="C24" s="12"/>
      <c r="D24" s="12"/>
      <c r="E24" s="1"/>
      <c r="F24" s="1"/>
      <c r="G24" s="12" t="s">
        <v>354</v>
      </c>
      <c r="H24" s="13">
        <v>2.5</v>
      </c>
      <c r="I24" s="12"/>
      <c r="J24" s="12"/>
    </row>
    <row r="25" spans="1:10" x14ac:dyDescent="0.3">
      <c r="A25" s="12" t="s">
        <v>355</v>
      </c>
      <c r="B25" s="13">
        <v>138</v>
      </c>
      <c r="C25" s="12"/>
      <c r="D25" s="12"/>
      <c r="E25" s="1"/>
      <c r="F25" s="1"/>
      <c r="G25" s="12" t="s">
        <v>355</v>
      </c>
      <c r="H25" s="13">
        <v>2.5</v>
      </c>
      <c r="I25" s="12"/>
      <c r="J25" s="12"/>
    </row>
    <row r="26" spans="1:10" x14ac:dyDescent="0.3">
      <c r="A26" s="19" t="s">
        <v>385</v>
      </c>
      <c r="B26" s="21"/>
      <c r="C26" s="21"/>
      <c r="D26" s="21"/>
      <c r="E26" s="1"/>
      <c r="F26" s="1"/>
      <c r="G26" s="12" t="s">
        <v>356</v>
      </c>
      <c r="H26" s="13">
        <v>2.7</v>
      </c>
      <c r="I26" s="12"/>
      <c r="J26" s="12"/>
    </row>
    <row r="27" spans="1:10" ht="28.8" x14ac:dyDescent="0.3">
      <c r="A27" s="1"/>
      <c r="B27" s="1"/>
      <c r="C27" s="1"/>
      <c r="D27" s="1"/>
      <c r="E27" s="1"/>
      <c r="F27" s="1"/>
      <c r="G27" s="12" t="s">
        <v>390</v>
      </c>
      <c r="H27" s="13">
        <v>2.4</v>
      </c>
      <c r="I27" s="12"/>
      <c r="J27" s="12"/>
    </row>
    <row r="28" spans="1:10" x14ac:dyDescent="0.3">
      <c r="A28" s="1"/>
      <c r="B28" s="1"/>
      <c r="C28" s="1"/>
      <c r="D28" s="1"/>
      <c r="E28" s="1"/>
      <c r="F28" s="1"/>
      <c r="G28" s="19" t="s">
        <v>385</v>
      </c>
      <c r="H28" s="21"/>
      <c r="I28" s="21"/>
      <c r="J28" s="2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A70E-FA3A-4250-84C3-6B664F240DDC}">
  <dimension ref="A1:I39"/>
  <sheetViews>
    <sheetView topLeftCell="A13" workbookViewId="0">
      <selection activeCell="M45" sqref="M45"/>
    </sheetView>
  </sheetViews>
  <sheetFormatPr defaultRowHeight="14.4" x14ac:dyDescent="0.3"/>
  <cols>
    <col min="1" max="1" width="17.109375" customWidth="1"/>
    <col min="2" max="2" width="8" style="4" bestFit="1" customWidth="1"/>
    <col min="3" max="3" width="6.6640625" style="4" bestFit="1" customWidth="1"/>
    <col min="4" max="4" width="7" style="4" bestFit="1" customWidth="1"/>
    <col min="5" max="5" width="5.88671875" style="4" customWidth="1"/>
    <col min="6" max="6" width="16.6640625" style="4" customWidth="1"/>
    <col min="7" max="7" width="8" bestFit="1" customWidth="1"/>
  </cols>
  <sheetData>
    <row r="1" spans="1:9" ht="15" customHeight="1" x14ac:dyDescent="0.3">
      <c r="A1" s="47" t="s">
        <v>384</v>
      </c>
      <c r="B1" s="47"/>
      <c r="C1" s="47"/>
      <c r="D1" s="47"/>
      <c r="E1" s="3"/>
      <c r="F1" s="47" t="s">
        <v>383</v>
      </c>
      <c r="G1" s="47"/>
      <c r="H1" s="47"/>
      <c r="I1" s="47"/>
    </row>
    <row r="2" spans="1:9" ht="15" customHeight="1" x14ac:dyDescent="0.3">
      <c r="A2" s="19" t="s">
        <v>380</v>
      </c>
      <c r="B2" s="22" t="s">
        <v>1</v>
      </c>
      <c r="C2" s="22" t="s">
        <v>374</v>
      </c>
      <c r="D2" s="22" t="s">
        <v>375</v>
      </c>
      <c r="E2" s="3"/>
      <c r="F2" s="19" t="s">
        <v>380</v>
      </c>
      <c r="G2" s="22" t="s">
        <v>1</v>
      </c>
      <c r="H2" s="22" t="s">
        <v>374</v>
      </c>
      <c r="I2" s="22" t="s">
        <v>375</v>
      </c>
    </row>
    <row r="3" spans="1:9" x14ac:dyDescent="0.3">
      <c r="A3" s="12" t="s">
        <v>357</v>
      </c>
      <c r="B3" s="21">
        <v>3.4</v>
      </c>
      <c r="C3" s="21"/>
      <c r="D3" s="21"/>
      <c r="E3" s="20"/>
      <c r="F3" s="12" t="s">
        <v>357</v>
      </c>
      <c r="G3" s="18">
        <v>3.8</v>
      </c>
      <c r="H3" s="18"/>
      <c r="I3" s="18"/>
    </row>
    <row r="4" spans="1:9" ht="15" customHeight="1" x14ac:dyDescent="0.3">
      <c r="A4" s="12" t="s">
        <v>359</v>
      </c>
      <c r="B4" s="21">
        <v>3.5</v>
      </c>
      <c r="C4" s="21"/>
      <c r="D4" s="21"/>
      <c r="E4" s="20"/>
      <c r="F4" s="12" t="s">
        <v>359</v>
      </c>
      <c r="G4" s="18">
        <v>3.8</v>
      </c>
      <c r="H4" s="18"/>
      <c r="I4" s="18"/>
    </row>
    <row r="5" spans="1:9" x14ac:dyDescent="0.3">
      <c r="A5" s="12" t="s">
        <v>361</v>
      </c>
      <c r="B5" s="21">
        <v>3.5</v>
      </c>
      <c r="C5" s="21"/>
      <c r="D5" s="21"/>
      <c r="E5" s="20"/>
      <c r="F5" s="12" t="s">
        <v>361</v>
      </c>
      <c r="G5" s="18">
        <v>3.8</v>
      </c>
      <c r="H5" s="18"/>
      <c r="I5" s="18"/>
    </row>
    <row r="6" spans="1:9" ht="15" customHeight="1" x14ac:dyDescent="0.3">
      <c r="A6" s="12" t="s">
        <v>363</v>
      </c>
      <c r="B6" s="21">
        <v>3.5</v>
      </c>
      <c r="C6" s="21"/>
      <c r="D6" s="21"/>
      <c r="E6" s="20"/>
      <c r="F6" s="12" t="s">
        <v>363</v>
      </c>
      <c r="G6" s="18">
        <v>3.8</v>
      </c>
      <c r="H6" s="18"/>
      <c r="I6" s="18"/>
    </row>
    <row r="7" spans="1:9" ht="15" customHeight="1" x14ac:dyDescent="0.3">
      <c r="A7" s="12" t="s">
        <v>365</v>
      </c>
      <c r="B7" s="21">
        <v>3.5</v>
      </c>
      <c r="C7" s="21"/>
      <c r="D7" s="21"/>
      <c r="E7" s="20"/>
      <c r="F7" s="12" t="s">
        <v>365</v>
      </c>
      <c r="G7" s="18">
        <v>3.8</v>
      </c>
      <c r="H7" s="18"/>
      <c r="I7" s="18"/>
    </row>
    <row r="8" spans="1:9" ht="15" customHeight="1" x14ac:dyDescent="0.3">
      <c r="A8" s="12" t="s">
        <v>367</v>
      </c>
      <c r="B8" s="21">
        <v>3.5</v>
      </c>
      <c r="C8" s="21"/>
      <c r="D8" s="21"/>
      <c r="E8" s="20"/>
      <c r="F8" s="12" t="s">
        <v>367</v>
      </c>
      <c r="G8" s="18">
        <v>3.8</v>
      </c>
      <c r="H8" s="18"/>
      <c r="I8" s="18"/>
    </row>
    <row r="9" spans="1:9" ht="15" customHeight="1" x14ac:dyDescent="0.3">
      <c r="A9" s="12" t="s">
        <v>369</v>
      </c>
      <c r="B9" s="21">
        <v>3.5</v>
      </c>
      <c r="C9" s="21"/>
      <c r="D9" s="21"/>
      <c r="E9" s="20"/>
      <c r="F9" s="12" t="s">
        <v>369</v>
      </c>
      <c r="G9" s="18">
        <v>3.8</v>
      </c>
      <c r="H9" s="18"/>
      <c r="I9" s="18"/>
    </row>
    <row r="10" spans="1:9" ht="15" customHeight="1" x14ac:dyDescent="0.3">
      <c r="A10" s="12" t="s">
        <v>371</v>
      </c>
      <c r="B10" s="21">
        <v>3.5</v>
      </c>
      <c r="C10" s="21"/>
      <c r="D10" s="21"/>
      <c r="E10" s="20"/>
      <c r="F10" s="12" t="s">
        <v>371</v>
      </c>
      <c r="G10" s="18">
        <v>3.8</v>
      </c>
      <c r="H10" s="18"/>
      <c r="I10" s="18"/>
    </row>
    <row r="11" spans="1:9" ht="15" customHeight="1" x14ac:dyDescent="0.3">
      <c r="A11" s="12" t="s">
        <v>358</v>
      </c>
      <c r="B11" s="13">
        <v>3.4</v>
      </c>
      <c r="C11" s="13"/>
      <c r="D11" s="13"/>
      <c r="E11" s="3"/>
      <c r="F11" s="12" t="s">
        <v>358</v>
      </c>
      <c r="G11" s="18">
        <v>3.8</v>
      </c>
      <c r="H11" s="12"/>
      <c r="I11" s="12"/>
    </row>
    <row r="12" spans="1:9" ht="15" customHeight="1" x14ac:dyDescent="0.3">
      <c r="A12" s="12" t="s">
        <v>360</v>
      </c>
      <c r="B12" s="21">
        <v>3.5</v>
      </c>
      <c r="C12" s="21"/>
      <c r="D12" s="21"/>
      <c r="E12" s="20"/>
      <c r="F12" s="12" t="s">
        <v>360</v>
      </c>
      <c r="G12" s="18">
        <v>3.8</v>
      </c>
      <c r="H12" s="12"/>
      <c r="I12" s="12"/>
    </row>
    <row r="13" spans="1:9" ht="15" customHeight="1" x14ac:dyDescent="0.3">
      <c r="A13" s="12" t="s">
        <v>362</v>
      </c>
      <c r="B13" s="21">
        <v>3.5</v>
      </c>
      <c r="C13" s="21"/>
      <c r="D13" s="21"/>
      <c r="E13" s="20"/>
      <c r="F13" s="12" t="s">
        <v>362</v>
      </c>
      <c r="G13" s="18">
        <v>3.8</v>
      </c>
      <c r="H13" s="12"/>
      <c r="I13" s="12"/>
    </row>
    <row r="14" spans="1:9" ht="15" customHeight="1" x14ac:dyDescent="0.3">
      <c r="A14" s="12" t="s">
        <v>364</v>
      </c>
      <c r="B14" s="21">
        <v>3.5</v>
      </c>
      <c r="C14" s="21"/>
      <c r="D14" s="21"/>
      <c r="E14" s="20"/>
      <c r="F14" s="12" t="s">
        <v>364</v>
      </c>
      <c r="G14" s="18">
        <v>3.8</v>
      </c>
      <c r="H14" s="12"/>
      <c r="I14" s="12"/>
    </row>
    <row r="15" spans="1:9" ht="15" customHeight="1" x14ac:dyDescent="0.3">
      <c r="A15" s="12" t="s">
        <v>366</v>
      </c>
      <c r="B15" s="21">
        <v>3.5</v>
      </c>
      <c r="C15" s="21"/>
      <c r="D15" s="21"/>
      <c r="E15" s="20"/>
      <c r="F15" s="12" t="s">
        <v>366</v>
      </c>
      <c r="G15" s="18">
        <v>3.8</v>
      </c>
      <c r="H15" s="12"/>
      <c r="I15" s="12"/>
    </row>
    <row r="16" spans="1:9" ht="15" customHeight="1" x14ac:dyDescent="0.3">
      <c r="A16" s="12" t="s">
        <v>368</v>
      </c>
      <c r="B16" s="21">
        <v>3.5</v>
      </c>
      <c r="C16" s="21"/>
      <c r="D16" s="21"/>
      <c r="E16" s="20"/>
      <c r="F16" s="12" t="s">
        <v>368</v>
      </c>
      <c r="G16" s="18">
        <v>3.8</v>
      </c>
      <c r="H16" s="12"/>
      <c r="I16" s="12"/>
    </row>
    <row r="17" spans="1:9" ht="15" customHeight="1" x14ac:dyDescent="0.3">
      <c r="A17" s="12" t="s">
        <v>370</v>
      </c>
      <c r="B17" s="21">
        <v>3.5</v>
      </c>
      <c r="C17" s="21"/>
      <c r="D17" s="21"/>
      <c r="E17" s="20"/>
      <c r="F17" s="12" t="s">
        <v>370</v>
      </c>
      <c r="G17" s="18">
        <v>3.8</v>
      </c>
      <c r="H17" s="12"/>
      <c r="I17" s="12"/>
    </row>
    <row r="18" spans="1:9" ht="15" customHeight="1" x14ac:dyDescent="0.3">
      <c r="A18" s="19" t="s">
        <v>385</v>
      </c>
      <c r="B18" s="21"/>
      <c r="C18" s="21"/>
      <c r="D18" s="21"/>
      <c r="E18" s="20"/>
      <c r="F18" s="19" t="s">
        <v>385</v>
      </c>
      <c r="G18" s="21"/>
      <c r="H18" s="21"/>
      <c r="I18" s="21"/>
    </row>
    <row r="20" spans="1:9" ht="15" customHeight="1" x14ac:dyDescent="0.3">
      <c r="A20" s="48" t="s">
        <v>381</v>
      </c>
      <c r="B20" s="49"/>
      <c r="C20" s="49"/>
      <c r="D20" s="50"/>
      <c r="E20" s="23"/>
      <c r="F20" s="48" t="s">
        <v>382</v>
      </c>
      <c r="G20" s="49"/>
      <c r="H20" s="49"/>
      <c r="I20" s="50"/>
    </row>
    <row r="21" spans="1:9" ht="15" customHeight="1" x14ac:dyDescent="0.3">
      <c r="A21" s="19" t="s">
        <v>380</v>
      </c>
      <c r="B21" s="22" t="s">
        <v>1</v>
      </c>
      <c r="C21" s="22" t="s">
        <v>374</v>
      </c>
      <c r="D21" s="22" t="s">
        <v>375</v>
      </c>
      <c r="E21" s="23"/>
      <c r="F21" s="19" t="s">
        <v>380</v>
      </c>
      <c r="G21" s="22" t="s">
        <v>1</v>
      </c>
      <c r="H21" s="22" t="s">
        <v>374</v>
      </c>
      <c r="I21" s="22" t="s">
        <v>375</v>
      </c>
    </row>
    <row r="22" spans="1:9" x14ac:dyDescent="0.3">
      <c r="A22" s="12" t="s">
        <v>357</v>
      </c>
      <c r="B22" s="13">
        <v>2.4</v>
      </c>
      <c r="C22" s="13"/>
      <c r="D22" s="13"/>
      <c r="E22" s="3"/>
      <c r="F22" s="12" t="s">
        <v>357</v>
      </c>
      <c r="G22" s="13">
        <v>2.7</v>
      </c>
      <c r="H22" s="13"/>
      <c r="I22" s="13"/>
    </row>
    <row r="23" spans="1:9" x14ac:dyDescent="0.3">
      <c r="A23" s="12" t="s">
        <v>359</v>
      </c>
      <c r="B23" s="13">
        <v>2.4</v>
      </c>
      <c r="C23" s="13"/>
      <c r="D23" s="13"/>
      <c r="E23" s="3"/>
      <c r="F23" s="12" t="s">
        <v>359</v>
      </c>
      <c r="G23" s="13">
        <v>2.7</v>
      </c>
      <c r="H23" s="13"/>
      <c r="I23" s="13"/>
    </row>
    <row r="24" spans="1:9" x14ac:dyDescent="0.3">
      <c r="A24" s="12" t="s">
        <v>361</v>
      </c>
      <c r="B24" s="13">
        <v>2.4</v>
      </c>
      <c r="C24" s="13"/>
      <c r="D24" s="13"/>
      <c r="E24" s="3"/>
      <c r="F24" s="12" t="s">
        <v>361</v>
      </c>
      <c r="G24" s="13">
        <v>2.7</v>
      </c>
      <c r="H24" s="13"/>
      <c r="I24" s="13"/>
    </row>
    <row r="25" spans="1:9" x14ac:dyDescent="0.3">
      <c r="A25" s="12" t="s">
        <v>363</v>
      </c>
      <c r="B25" s="13">
        <v>2.4</v>
      </c>
      <c r="C25" s="13"/>
      <c r="D25" s="13"/>
      <c r="E25" s="3"/>
      <c r="F25" s="12" t="s">
        <v>363</v>
      </c>
      <c r="G25" s="13">
        <v>2.7</v>
      </c>
      <c r="H25" s="13"/>
      <c r="I25" s="13"/>
    </row>
    <row r="26" spans="1:9" x14ac:dyDescent="0.3">
      <c r="A26" s="12" t="s">
        <v>365</v>
      </c>
      <c r="B26" s="13">
        <v>2.4</v>
      </c>
      <c r="C26" s="13"/>
      <c r="D26" s="13"/>
      <c r="E26" s="3"/>
      <c r="F26" s="12" t="s">
        <v>365</v>
      </c>
      <c r="G26" s="13">
        <v>2.7</v>
      </c>
      <c r="H26" s="13"/>
      <c r="I26" s="13"/>
    </row>
    <row r="27" spans="1:9" x14ac:dyDescent="0.3">
      <c r="A27" s="12" t="s">
        <v>367</v>
      </c>
      <c r="B27" s="13">
        <v>2.4</v>
      </c>
      <c r="C27" s="13"/>
      <c r="D27" s="13"/>
      <c r="E27" s="3"/>
      <c r="F27" s="12" t="s">
        <v>367</v>
      </c>
      <c r="G27" s="13">
        <v>2.7</v>
      </c>
      <c r="H27" s="13"/>
      <c r="I27" s="13"/>
    </row>
    <row r="28" spans="1:9" x14ac:dyDescent="0.3">
      <c r="A28" s="12" t="s">
        <v>369</v>
      </c>
      <c r="B28" s="13">
        <v>2.4</v>
      </c>
      <c r="C28" s="13"/>
      <c r="D28" s="13"/>
      <c r="E28" s="3"/>
      <c r="F28" s="12" t="s">
        <v>369</v>
      </c>
      <c r="G28" s="13">
        <v>2.7</v>
      </c>
      <c r="H28" s="13"/>
      <c r="I28" s="13"/>
    </row>
    <row r="29" spans="1:9" x14ac:dyDescent="0.3">
      <c r="A29" s="12" t="s">
        <v>371</v>
      </c>
      <c r="B29" s="13">
        <v>2.4</v>
      </c>
      <c r="C29" s="13"/>
      <c r="D29" s="13"/>
      <c r="E29" s="3"/>
      <c r="F29" s="12" t="s">
        <v>371</v>
      </c>
      <c r="G29" s="13">
        <v>2.7</v>
      </c>
      <c r="H29" s="13"/>
      <c r="I29" s="13"/>
    </row>
    <row r="30" spans="1:9" x14ac:dyDescent="0.3">
      <c r="A30" s="12" t="s">
        <v>373</v>
      </c>
      <c r="B30" s="13">
        <v>2.4</v>
      </c>
      <c r="C30" s="13"/>
      <c r="D30" s="13"/>
      <c r="E30" s="3"/>
      <c r="F30" s="12" t="s">
        <v>373</v>
      </c>
      <c r="G30" s="13">
        <v>2.7</v>
      </c>
      <c r="H30" s="13"/>
      <c r="I30" s="13"/>
    </row>
    <row r="31" spans="1:9" x14ac:dyDescent="0.3">
      <c r="A31" s="12" t="s">
        <v>358</v>
      </c>
      <c r="B31" s="13">
        <v>2.4</v>
      </c>
      <c r="C31" s="13"/>
      <c r="D31" s="13"/>
      <c r="E31" s="3"/>
      <c r="F31" s="12" t="s">
        <v>358</v>
      </c>
      <c r="G31" s="13">
        <v>2.7</v>
      </c>
      <c r="H31" s="13"/>
      <c r="I31" s="13"/>
    </row>
    <row r="32" spans="1:9" x14ac:dyDescent="0.3">
      <c r="A32" s="12" t="s">
        <v>360</v>
      </c>
      <c r="B32" s="13">
        <v>2.4</v>
      </c>
      <c r="C32" s="13"/>
      <c r="D32" s="13"/>
      <c r="E32" s="3"/>
      <c r="F32" s="12" t="s">
        <v>360</v>
      </c>
      <c r="G32" s="13">
        <v>2.7</v>
      </c>
      <c r="H32" s="13"/>
      <c r="I32" s="13"/>
    </row>
    <row r="33" spans="1:9" x14ac:dyDescent="0.3">
      <c r="A33" s="12" t="s">
        <v>362</v>
      </c>
      <c r="B33" s="13">
        <v>2.4</v>
      </c>
      <c r="C33" s="13"/>
      <c r="D33" s="13"/>
      <c r="E33" s="3"/>
      <c r="F33" s="12" t="s">
        <v>362</v>
      </c>
      <c r="G33" s="13">
        <v>2.7</v>
      </c>
      <c r="H33" s="13"/>
      <c r="I33" s="13"/>
    </row>
    <row r="34" spans="1:9" x14ac:dyDescent="0.3">
      <c r="A34" s="12" t="s">
        <v>364</v>
      </c>
      <c r="B34" s="13">
        <v>2.4</v>
      </c>
      <c r="C34" s="13"/>
      <c r="D34" s="13"/>
      <c r="E34" s="3"/>
      <c r="F34" s="12" t="s">
        <v>364</v>
      </c>
      <c r="G34" s="13">
        <v>2.7</v>
      </c>
      <c r="H34" s="13"/>
      <c r="I34" s="13"/>
    </row>
    <row r="35" spans="1:9" x14ac:dyDescent="0.3">
      <c r="A35" s="12" t="s">
        <v>366</v>
      </c>
      <c r="B35" s="13">
        <v>2.4</v>
      </c>
      <c r="C35" s="13"/>
      <c r="D35" s="13"/>
      <c r="E35" s="3"/>
      <c r="F35" s="12" t="s">
        <v>366</v>
      </c>
      <c r="G35" s="13">
        <v>2.7</v>
      </c>
      <c r="H35" s="13"/>
      <c r="I35" s="13"/>
    </row>
    <row r="36" spans="1:9" x14ac:dyDescent="0.3">
      <c r="A36" s="12" t="s">
        <v>368</v>
      </c>
      <c r="B36" s="13">
        <v>2.4</v>
      </c>
      <c r="C36" s="13"/>
      <c r="D36" s="13"/>
      <c r="E36" s="3"/>
      <c r="F36" s="12" t="s">
        <v>368</v>
      </c>
      <c r="G36" s="13">
        <v>2.7</v>
      </c>
      <c r="H36" s="13"/>
      <c r="I36" s="13"/>
    </row>
    <row r="37" spans="1:9" x14ac:dyDescent="0.3">
      <c r="A37" s="12" t="s">
        <v>370</v>
      </c>
      <c r="B37" s="13">
        <v>2.4</v>
      </c>
      <c r="C37" s="13"/>
      <c r="D37" s="13"/>
      <c r="E37" s="3"/>
      <c r="F37" s="12" t="s">
        <v>370</v>
      </c>
      <c r="G37" s="13">
        <v>2.7</v>
      </c>
      <c r="H37" s="13"/>
      <c r="I37" s="13"/>
    </row>
    <row r="38" spans="1:9" x14ac:dyDescent="0.3">
      <c r="A38" s="12" t="s">
        <v>372</v>
      </c>
      <c r="B38" s="13">
        <v>2.4</v>
      </c>
      <c r="C38" s="13"/>
      <c r="D38" s="13"/>
      <c r="E38" s="3"/>
      <c r="F38" s="12" t="s">
        <v>372</v>
      </c>
      <c r="G38" s="13">
        <v>2.7</v>
      </c>
      <c r="H38" s="13"/>
      <c r="I38" s="13"/>
    </row>
    <row r="39" spans="1:9" x14ac:dyDescent="0.3">
      <c r="A39" s="19" t="s">
        <v>385</v>
      </c>
      <c r="B39" s="21"/>
      <c r="C39" s="21"/>
      <c r="D39" s="21"/>
      <c r="F39" s="19" t="s">
        <v>385</v>
      </c>
      <c r="G39" s="21"/>
      <c r="H39" s="21"/>
      <c r="I39" s="21"/>
    </row>
  </sheetData>
  <mergeCells count="4">
    <mergeCell ref="A1:D1"/>
    <mergeCell ref="F1:I1"/>
    <mergeCell ref="A20:D20"/>
    <mergeCell ref="F20:I2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8738-6CF4-48F3-9C4B-089B1D380D60}">
  <dimension ref="A1:D6"/>
  <sheetViews>
    <sheetView workbookViewId="0">
      <selection activeCell="I15" sqref="I15"/>
    </sheetView>
  </sheetViews>
  <sheetFormatPr defaultRowHeight="14.4" x14ac:dyDescent="0.3"/>
  <cols>
    <col min="1" max="1" width="27.44140625" customWidth="1"/>
    <col min="2" max="2" width="15.33203125" customWidth="1"/>
  </cols>
  <sheetData>
    <row r="1" spans="1:4" x14ac:dyDescent="0.3">
      <c r="A1" s="17" t="s">
        <v>317</v>
      </c>
    </row>
    <row r="2" spans="1:4" x14ac:dyDescent="0.3">
      <c r="A2" s="19" t="s">
        <v>310</v>
      </c>
      <c r="B2" s="19" t="s">
        <v>266</v>
      </c>
      <c r="C2" s="9" t="s">
        <v>374</v>
      </c>
      <c r="D2" s="9" t="s">
        <v>375</v>
      </c>
    </row>
    <row r="3" spans="1:4" x14ac:dyDescent="0.3">
      <c r="A3" s="12" t="s">
        <v>311</v>
      </c>
      <c r="B3" s="12" t="s">
        <v>312</v>
      </c>
      <c r="C3" s="14"/>
      <c r="D3" s="14"/>
    </row>
    <row r="4" spans="1:4" x14ac:dyDescent="0.3">
      <c r="A4" s="12" t="s">
        <v>313</v>
      </c>
      <c r="B4" s="12" t="s">
        <v>312</v>
      </c>
      <c r="C4" s="14"/>
      <c r="D4" s="14"/>
    </row>
    <row r="5" spans="1:4" x14ac:dyDescent="0.3">
      <c r="A5" s="12" t="s">
        <v>314</v>
      </c>
      <c r="B5" s="12" t="s">
        <v>315</v>
      </c>
      <c r="C5" s="14"/>
      <c r="D5" s="14"/>
    </row>
    <row r="6" spans="1:4" x14ac:dyDescent="0.3">
      <c r="A6" s="12" t="s">
        <v>316</v>
      </c>
      <c r="B6" s="12" t="s">
        <v>312</v>
      </c>
      <c r="C6" s="14"/>
      <c r="D6" s="14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0B4E-1D35-49DA-8335-DDAC67C9987E}">
  <dimension ref="A1:J31"/>
  <sheetViews>
    <sheetView topLeftCell="A10" workbookViewId="0">
      <selection activeCell="D11" sqref="D11"/>
    </sheetView>
  </sheetViews>
  <sheetFormatPr defaultRowHeight="14.4" x14ac:dyDescent="0.3"/>
  <cols>
    <col min="1" max="1" width="21" customWidth="1"/>
    <col min="2" max="2" width="20" customWidth="1"/>
    <col min="3" max="3" width="16.6640625" customWidth="1"/>
    <col min="6" max="6" width="21.6640625" customWidth="1"/>
    <col min="7" max="7" width="13.5546875" customWidth="1"/>
    <col min="8" max="8" width="12.44140625" customWidth="1"/>
    <col min="9" max="9" width="13.6640625" customWidth="1"/>
    <col min="10" max="10" width="15" customWidth="1"/>
  </cols>
  <sheetData>
    <row r="1" spans="1:10" ht="18" x14ac:dyDescent="0.35">
      <c r="A1" s="26" t="s">
        <v>392</v>
      </c>
      <c r="F1" s="26" t="s">
        <v>398</v>
      </c>
    </row>
    <row r="2" spans="1:10" ht="30.75" customHeight="1" x14ac:dyDescent="0.3">
      <c r="A2" s="16" t="s">
        <v>391</v>
      </c>
      <c r="B2" s="5" t="s">
        <v>399</v>
      </c>
      <c r="C2" s="5" t="s">
        <v>266</v>
      </c>
      <c r="F2" s="1" t="s">
        <v>391</v>
      </c>
      <c r="G2" s="5" t="s">
        <v>266</v>
      </c>
      <c r="H2" s="5" t="s">
        <v>266</v>
      </c>
      <c r="I2" s="5"/>
      <c r="J2" s="5"/>
    </row>
    <row r="3" spans="1:10" x14ac:dyDescent="0.3">
      <c r="A3" s="1" t="s">
        <v>285</v>
      </c>
      <c r="B3" s="1" t="s">
        <v>268</v>
      </c>
      <c r="C3" s="1" t="s">
        <v>269</v>
      </c>
      <c r="F3" s="1" t="s">
        <v>319</v>
      </c>
      <c r="G3" s="1" t="s">
        <v>320</v>
      </c>
      <c r="H3" s="1" t="s">
        <v>321</v>
      </c>
    </row>
    <row r="4" spans="1:10" x14ac:dyDescent="0.3">
      <c r="A4" s="1" t="s">
        <v>272</v>
      </c>
      <c r="B4" s="1" t="s">
        <v>268</v>
      </c>
      <c r="C4" s="1" t="s">
        <v>269</v>
      </c>
      <c r="F4" s="1" t="s">
        <v>322</v>
      </c>
      <c r="G4" s="1" t="s">
        <v>320</v>
      </c>
      <c r="H4" s="1" t="s">
        <v>321</v>
      </c>
    </row>
    <row r="5" spans="1:10" x14ac:dyDescent="0.3">
      <c r="A5" s="1" t="s">
        <v>276</v>
      </c>
      <c r="B5" s="1" t="s">
        <v>268</v>
      </c>
      <c r="C5" s="1" t="s">
        <v>269</v>
      </c>
    </row>
    <row r="6" spans="1:10" x14ac:dyDescent="0.3">
      <c r="A6" s="1" t="s">
        <v>283</v>
      </c>
      <c r="B6" s="1" t="s">
        <v>268</v>
      </c>
      <c r="C6" s="1" t="s">
        <v>269</v>
      </c>
    </row>
    <row r="7" spans="1:10" x14ac:dyDescent="0.3">
      <c r="A7" s="1"/>
      <c r="B7" s="1"/>
      <c r="C7" s="1"/>
    </row>
    <row r="9" spans="1:10" ht="15" customHeight="1" x14ac:dyDescent="0.3">
      <c r="A9" s="16" t="s">
        <v>396</v>
      </c>
      <c r="B9" s="5" t="s">
        <v>266</v>
      </c>
      <c r="C9" s="5" t="s">
        <v>266</v>
      </c>
      <c r="F9" s="16" t="s">
        <v>396</v>
      </c>
      <c r="G9" s="5" t="s">
        <v>266</v>
      </c>
      <c r="H9" s="5" t="s">
        <v>266</v>
      </c>
      <c r="I9" s="5"/>
      <c r="J9" s="5"/>
    </row>
    <row r="10" spans="1:10" x14ac:dyDescent="0.3">
      <c r="A10" s="1" t="s">
        <v>276</v>
      </c>
      <c r="B10" s="1" t="s">
        <v>393</v>
      </c>
      <c r="C10" s="1" t="s">
        <v>394</v>
      </c>
      <c r="F10" s="1" t="s">
        <v>324</v>
      </c>
      <c r="G10" s="1" t="s">
        <v>323</v>
      </c>
      <c r="H10" s="1" t="s">
        <v>297</v>
      </c>
    </row>
    <row r="11" spans="1:10" x14ac:dyDescent="0.3">
      <c r="A11" s="1"/>
      <c r="B11" s="1"/>
      <c r="C11" s="1"/>
    </row>
    <row r="13" spans="1:10" x14ac:dyDescent="0.3">
      <c r="A13" s="16" t="s">
        <v>395</v>
      </c>
      <c r="B13" s="5" t="s">
        <v>266</v>
      </c>
      <c r="C13" s="5" t="s">
        <v>266</v>
      </c>
      <c r="F13" s="16" t="s">
        <v>395</v>
      </c>
      <c r="G13" s="5" t="s">
        <v>266</v>
      </c>
      <c r="H13" s="5" t="s">
        <v>266</v>
      </c>
    </row>
    <row r="14" spans="1:10" x14ac:dyDescent="0.3">
      <c r="A14" s="1" t="s">
        <v>276</v>
      </c>
      <c r="B14" s="1" t="s">
        <v>325</v>
      </c>
      <c r="C14" s="1" t="s">
        <v>326</v>
      </c>
      <c r="F14" s="1" t="s">
        <v>327</v>
      </c>
      <c r="G14" s="1" t="s">
        <v>325</v>
      </c>
      <c r="H14" s="1" t="s">
        <v>328</v>
      </c>
    </row>
    <row r="15" spans="1:10" x14ac:dyDescent="0.3">
      <c r="A15" s="1" t="s">
        <v>329</v>
      </c>
      <c r="B15" s="1" t="s">
        <v>325</v>
      </c>
      <c r="C15" s="1" t="s">
        <v>326</v>
      </c>
      <c r="F15" s="1" t="s">
        <v>330</v>
      </c>
      <c r="G15" s="1" t="s">
        <v>325</v>
      </c>
      <c r="H15" s="1" t="s">
        <v>328</v>
      </c>
    </row>
    <row r="16" spans="1:10" x14ac:dyDescent="0.3">
      <c r="A16" s="1" t="s">
        <v>272</v>
      </c>
      <c r="B16" s="1" t="s">
        <v>325</v>
      </c>
      <c r="C16" s="1" t="s">
        <v>326</v>
      </c>
      <c r="F16" s="1" t="s">
        <v>331</v>
      </c>
      <c r="G16" s="1" t="s">
        <v>325</v>
      </c>
      <c r="H16" s="1" t="s">
        <v>328</v>
      </c>
    </row>
    <row r="17" spans="1:8" x14ac:dyDescent="0.3">
      <c r="A17" s="1" t="s">
        <v>280</v>
      </c>
      <c r="B17" s="1" t="s">
        <v>325</v>
      </c>
      <c r="C17" s="1" t="s">
        <v>326</v>
      </c>
      <c r="F17" s="1" t="s">
        <v>332</v>
      </c>
      <c r="G17" s="1" t="s">
        <v>325</v>
      </c>
      <c r="H17" s="1" t="s">
        <v>328</v>
      </c>
    </row>
    <row r="18" spans="1:8" x14ac:dyDescent="0.3">
      <c r="A18" s="1" t="s">
        <v>333</v>
      </c>
      <c r="B18" s="1" t="s">
        <v>325</v>
      </c>
      <c r="C18" s="1" t="s">
        <v>326</v>
      </c>
      <c r="F18" s="1" t="s">
        <v>334</v>
      </c>
      <c r="G18" s="1" t="s">
        <v>325</v>
      </c>
      <c r="H18" s="1" t="s">
        <v>328</v>
      </c>
    </row>
    <row r="19" spans="1:8" x14ac:dyDescent="0.3">
      <c r="A19" s="1" t="s">
        <v>335</v>
      </c>
      <c r="B19" s="1" t="s">
        <v>325</v>
      </c>
      <c r="C19" s="1" t="s">
        <v>326</v>
      </c>
      <c r="F19" s="1" t="s">
        <v>336</v>
      </c>
      <c r="G19" s="1" t="s">
        <v>325</v>
      </c>
      <c r="H19" s="1" t="s">
        <v>328</v>
      </c>
    </row>
    <row r="20" spans="1:8" x14ac:dyDescent="0.3">
      <c r="A20" s="1" t="s">
        <v>275</v>
      </c>
      <c r="B20" s="1" t="s">
        <v>325</v>
      </c>
      <c r="C20" s="1" t="s">
        <v>326</v>
      </c>
      <c r="F20" s="1" t="s">
        <v>337</v>
      </c>
      <c r="G20" s="1" t="s">
        <v>325</v>
      </c>
      <c r="H20" s="1" t="s">
        <v>328</v>
      </c>
    </row>
    <row r="21" spans="1:8" x14ac:dyDescent="0.3">
      <c r="A21" s="1"/>
      <c r="B21" s="1"/>
      <c r="C21" s="1"/>
    </row>
    <row r="23" spans="1:8" x14ac:dyDescent="0.3">
      <c r="A23" s="16" t="s">
        <v>397</v>
      </c>
      <c r="B23" s="5" t="s">
        <v>266</v>
      </c>
      <c r="C23" s="5" t="s">
        <v>266</v>
      </c>
      <c r="F23" s="16" t="s">
        <v>397</v>
      </c>
      <c r="G23" s="5" t="s">
        <v>266</v>
      </c>
      <c r="H23" s="5" t="s">
        <v>266</v>
      </c>
    </row>
    <row r="24" spans="1:8" x14ac:dyDescent="0.3">
      <c r="A24" s="1" t="s">
        <v>338</v>
      </c>
      <c r="B24" s="1" t="s">
        <v>339</v>
      </c>
      <c r="C24" s="1" t="s">
        <v>340</v>
      </c>
      <c r="F24" s="1" t="s">
        <v>341</v>
      </c>
      <c r="G24" s="1" t="s">
        <v>339</v>
      </c>
      <c r="H24" s="1" t="s">
        <v>342</v>
      </c>
    </row>
    <row r="25" spans="1:8" x14ac:dyDescent="0.3">
      <c r="A25" s="1" t="s">
        <v>343</v>
      </c>
      <c r="B25" s="1" t="s">
        <v>339</v>
      </c>
      <c r="C25" s="1" t="s">
        <v>340</v>
      </c>
      <c r="F25" s="1" t="s">
        <v>344</v>
      </c>
      <c r="G25" s="1" t="s">
        <v>339</v>
      </c>
      <c r="H25" s="1" t="s">
        <v>342</v>
      </c>
    </row>
    <row r="26" spans="1:8" x14ac:dyDescent="0.3">
      <c r="A26" s="1" t="s">
        <v>329</v>
      </c>
      <c r="B26" s="1" t="s">
        <v>339</v>
      </c>
      <c r="C26" s="1" t="s">
        <v>340</v>
      </c>
      <c r="F26" s="1" t="s">
        <v>330</v>
      </c>
      <c r="G26" s="1" t="s">
        <v>339</v>
      </c>
      <c r="H26" s="1" t="s">
        <v>342</v>
      </c>
    </row>
    <row r="27" spans="1:8" x14ac:dyDescent="0.3">
      <c r="A27" s="1" t="s">
        <v>272</v>
      </c>
      <c r="B27" s="1" t="s">
        <v>339</v>
      </c>
      <c r="C27" s="1" t="s">
        <v>340</v>
      </c>
      <c r="F27" s="1" t="s">
        <v>331</v>
      </c>
      <c r="G27" s="1" t="s">
        <v>339</v>
      </c>
      <c r="H27" s="1" t="s">
        <v>342</v>
      </c>
    </row>
    <row r="28" spans="1:8" x14ac:dyDescent="0.3">
      <c r="A28" s="1" t="s">
        <v>280</v>
      </c>
      <c r="B28" s="1" t="s">
        <v>339</v>
      </c>
      <c r="C28" s="1" t="s">
        <v>340</v>
      </c>
      <c r="F28" s="1" t="s">
        <v>332</v>
      </c>
      <c r="G28" s="1" t="s">
        <v>339</v>
      </c>
      <c r="H28" s="1" t="s">
        <v>342</v>
      </c>
    </row>
    <row r="29" spans="1:8" x14ac:dyDescent="0.3">
      <c r="A29" s="1" t="s">
        <v>333</v>
      </c>
      <c r="B29" s="1" t="s">
        <v>339</v>
      </c>
      <c r="C29" s="1" t="s">
        <v>340</v>
      </c>
      <c r="F29" s="1" t="s">
        <v>334</v>
      </c>
      <c r="G29" s="1" t="s">
        <v>339</v>
      </c>
      <c r="H29" s="1" t="s">
        <v>342</v>
      </c>
    </row>
    <row r="30" spans="1:8" x14ac:dyDescent="0.3">
      <c r="A30" s="1" t="s">
        <v>335</v>
      </c>
      <c r="B30" s="1" t="s">
        <v>339</v>
      </c>
      <c r="C30" s="1" t="s">
        <v>340</v>
      </c>
      <c r="F30" s="1" t="s">
        <v>336</v>
      </c>
      <c r="G30" s="1" t="s">
        <v>339</v>
      </c>
      <c r="H30" s="1" t="s">
        <v>342</v>
      </c>
    </row>
    <row r="31" spans="1:8" x14ac:dyDescent="0.3">
      <c r="A31" s="1" t="s">
        <v>275</v>
      </c>
      <c r="B31" s="1" t="s">
        <v>339</v>
      </c>
      <c r="C31" s="1" t="s">
        <v>340</v>
      </c>
      <c r="F31" s="1" t="s">
        <v>337</v>
      </c>
      <c r="G31" s="1" t="s">
        <v>339</v>
      </c>
      <c r="H31" s="1" t="s">
        <v>342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Personalizados</vt:lpstr>
      <vt:lpstr>Barras</vt:lpstr>
      <vt:lpstr>Bombons liquidos</vt:lpstr>
      <vt:lpstr>Bombons 12gr</vt:lpstr>
      <vt:lpstr>Trufas e trufados</vt:lpstr>
      <vt:lpstr>Degustação</vt:lpstr>
      <vt:lpstr>Planilha9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Gustavo Da rosa padilha</cp:lastModifiedBy>
  <dcterms:created xsi:type="dcterms:W3CDTF">2026-03-17T00:21:05Z</dcterms:created>
  <dcterms:modified xsi:type="dcterms:W3CDTF">2026-03-17T21:26:48Z</dcterms:modified>
</cp:coreProperties>
</file>